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yearuptemp-my.sharepoint.com/personal/sguerrero_my_yearupunited_org/Documents/"/>
    </mc:Choice>
  </mc:AlternateContent>
  <xr:revisionPtr revIDLastSave="473" documentId="8_{3DB83D0B-D79F-4A68-8924-B133A4165264}" xr6:coauthVersionLast="47" xr6:coauthVersionMax="47" xr10:uidLastSave="{1C6CD703-7EAB-4E50-8BF5-627332E38A6B}"/>
  <bookViews>
    <workbookView xWindow="5587" yWindow="293" windowWidth="20026" windowHeight="11737" xr2:uid="{B9BAC663-3979-44C2-BB0A-BC87CBF3B8AF}"/>
  </bookViews>
  <sheets>
    <sheet name="Dashboard" sheetId="9" r:id="rId1"/>
    <sheet name="Executive Report" sheetId="10" r:id="rId2"/>
    <sheet name="Analytical Approach" sheetId="12" r:id="rId3"/>
    <sheet name="Total_Revenue" sheetId="3" r:id="rId4"/>
    <sheet name="Monthly_Revenue" sheetId="4" r:id="rId5"/>
    <sheet name="Store_Contribution" sheetId="5" r:id="rId6"/>
    <sheet name="Top_Category_Revenue" sheetId="6" r:id="rId7"/>
    <sheet name="Declining_Revenue_Categories" sheetId="8" r:id="rId8"/>
    <sheet name="Staff_Performance" sheetId="7" r:id="rId9"/>
  </sheets>
  <definedNames>
    <definedName name="ExternalData_1" localSheetId="3" hidden="1">Total_Revenue!$A$2:$D$4</definedName>
    <definedName name="ExternalData_2" localSheetId="4" hidden="1">Monthly_Revenue!$A$2:$C$12</definedName>
    <definedName name="ExternalData_3" localSheetId="5" hidden="1">Store_Contribution!$A$2:$C$4</definedName>
    <definedName name="ExternalData_3" localSheetId="6" hidden="1">Top_Category_Revenue!$A$2:$B$18</definedName>
    <definedName name="ExternalData_4" localSheetId="8" hidden="1">Staff_Performance!$A$2:$F$4</definedName>
    <definedName name="ExternalData_5" localSheetId="7" hidden="1">Declining_Revenue_Categories!$A$2:$E$82</definedName>
  </definedNames>
  <calcPr calcId="191029"/>
  <pivotCaches>
    <pivotCache cacheId="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5261EE-5037-4A0D-A38B-D2ABE56085A2}" keepAlive="1" name="Query - q1_total_revenue" description="Connection to the 'q1_total_revenue' query in the workbook." type="5" refreshedVersion="0" background="1">
    <dbPr connection="Provider=Microsoft.Mashup.OleDb.1;Data Source=$Workbook$;Location=q1_total_revenue;Extended Properties=&quot;&quot;" command="SELECT * FROM [q1_total_revenue]"/>
  </connection>
  <connection id="2" xr16:uid="{4E932AFD-4D2F-4136-9CC0-E48BBEB173BB}" keepAlive="1" name="Query - q1_total_revenue (2)" description="Connection to the 'q1_total_revenue (2)' query in the workbook." type="5" refreshedVersion="8" background="1" saveData="1">
    <dbPr connection="Provider=Microsoft.Mashup.OleDb.1;Data Source=$Workbook$;Location=&quot;q1_total_revenue (2)&quot;;Extended Properties=&quot;&quot;" command="SELECT * FROM [q1_total_revenue (2)]"/>
  </connection>
  <connection id="3" xr16:uid="{F66A3405-DED0-4871-A35C-424EFB37A644}" keepAlive="1" name="Query - q1_total_revenue (3)" description="Connection to the 'q1_total_revenue (3)' query in the workbook." type="5" refreshedVersion="8" background="1" saveData="1">
    <dbPr connection="Provider=Microsoft.Mashup.OleDb.1;Data Source=$Workbook$;Location=&quot;q1_total_revenue (3)&quot;;Extended Properties=&quot;&quot;" command="SELECT * FROM [q1_total_revenue (3)]"/>
  </connection>
  <connection id="4" xr16:uid="{312458E3-032D-4007-8E60-AEF41FBF203A}" keepAlive="1" name="Query - q10_Declining_Categories_Monthly" description="Connection to the 'q10_Declining_Categories_Monthly' query in the workbook." type="5" refreshedVersion="8" background="1" saveData="1">
    <dbPr connection="Provider=Microsoft.Mashup.OleDb.1;Data Source=$Workbook$;Location=q10_Declining_Categories_Monthly;Extended Properties=&quot;&quot;" command="SELECT * FROM [q10_Declining_Categories_Monthly]"/>
  </connection>
  <connection id="5" xr16:uid="{AADF3EE7-4D2F-41E2-8DD0-93E95ADEC390}" keepAlive="1" name="Query - q2_monthly_store_revenue" description="Connection to the 'q2_monthly_store_revenue' query in the workbook." type="5" refreshedVersion="8" background="1" saveData="1">
    <dbPr connection="Provider=Microsoft.Mashup.OleDb.1;Data Source=$Workbook$;Location=q2_monthly_store_revenue;Extended Properties=&quot;&quot;" command="SELECT * FROM [q2_monthly_store_revenue]"/>
  </connection>
  <connection id="6" xr16:uid="{DE07DEA2-8412-45E3-A8BE-EE90F5528488}" keepAlive="1" name="Query - q3_store_percentage_contributions" description="Connection to the 'q3_store_percentage_contributions' query in the workbook." type="5" refreshedVersion="8" background="1" saveData="1">
    <dbPr connection="Provider=Microsoft.Mashup.OleDb.1;Data Source=$Workbook$;Location=q3_store_percentage_contributions;Extended Properties=&quot;&quot;" command="SELECT * FROM [q3_store_percentage_contributions]"/>
  </connection>
  <connection id="7" xr16:uid="{29F882C2-BB1B-4DD5-81FB-CD5D7E3805B7}" keepAlive="1" name="Query - q6_top_performing_categories" description="Connection to the 'q6_top_performing_categories' query in the workbook." type="5" refreshedVersion="8" background="1" saveData="1">
    <dbPr connection="Provider=Microsoft.Mashup.OleDb.1;Data Source=$Workbook$;Location=q6_top_performing_categories;Extended Properties=&quot;&quot;" command="SELECT * FROM [q6_top_performing_categories]"/>
  </connection>
  <connection id="8" xr16:uid="{B658B3E8-1A28-4C59-ADAA-01FFEAB67CF2}" keepAlive="1" name="Query - q9_staff_performance" description="Connection to the 'q9_staff_performance' query in the workbook." type="5" refreshedVersion="8" background="1" saveData="1">
    <dbPr connection="Provider=Microsoft.Mashup.OleDb.1;Data Source=$Workbook$;Location=q9_staff_performance;Extended Properties=&quot;&quot;" command="SELECT * FROM [q9_staff_performance]"/>
  </connection>
</connections>
</file>

<file path=xl/sharedStrings.xml><?xml version="1.0" encoding="utf-8"?>
<sst xmlns="http://schemas.openxmlformats.org/spreadsheetml/2006/main" count="305" uniqueCount="185">
  <si>
    <t>store_id</t>
  </si>
  <si>
    <t>Total Revenue</t>
  </si>
  <si>
    <t>Earliest Payment</t>
  </si>
  <si>
    <t>Latest Payment</t>
  </si>
  <si>
    <t>Q1 Total Store Revenue</t>
  </si>
  <si>
    <t>Revenue Month</t>
  </si>
  <si>
    <t>Monthly Revenue</t>
  </si>
  <si>
    <t>Q2  Monthly Revenue by Store</t>
  </si>
  <si>
    <t>Percentage Contribution</t>
  </si>
  <si>
    <t>Q3 Store Percentage Contribution</t>
  </si>
  <si>
    <t>Category Name</t>
  </si>
  <si>
    <t>Category Revenue</t>
  </si>
  <si>
    <t>Sports</t>
  </si>
  <si>
    <t>Sci-Fi</t>
  </si>
  <si>
    <t>Animation</t>
  </si>
  <si>
    <t>Drama</t>
  </si>
  <si>
    <t>Comedy</t>
  </si>
  <si>
    <t>Action</t>
  </si>
  <si>
    <t>New</t>
  </si>
  <si>
    <t>Games</t>
  </si>
  <si>
    <t>Foreign</t>
  </si>
  <si>
    <t>Family</t>
  </si>
  <si>
    <t>Documentary</t>
  </si>
  <si>
    <t>Horror</t>
  </si>
  <si>
    <t>Children</t>
  </si>
  <si>
    <t>Classics</t>
  </si>
  <si>
    <t>Travel</t>
  </si>
  <si>
    <t>Music</t>
  </si>
  <si>
    <t>Q6 Revenye by Category</t>
  </si>
  <si>
    <t>Staff ID</t>
  </si>
  <si>
    <t>Staff Name</t>
  </si>
  <si>
    <t>Total Rentals</t>
  </si>
  <si>
    <t>Avg Revenue per Rental</t>
  </si>
  <si>
    <t>Revenue Rank</t>
  </si>
  <si>
    <t>Jon Stephens</t>
  </si>
  <si>
    <t>Mike Hillyer</t>
  </si>
  <si>
    <t>Q9 Staff Performance by Rentals and Revenue</t>
  </si>
  <si>
    <t>Current Month</t>
  </si>
  <si>
    <t>Current Revenue</t>
  </si>
  <si>
    <t>Previous Month Revenue</t>
  </si>
  <si>
    <t>Revenue Difference</t>
  </si>
  <si>
    <t>NULL</t>
  </si>
  <si>
    <t>1962.68</t>
  </si>
  <si>
    <t>-1921.83</t>
  </si>
  <si>
    <t>1707.15</t>
  </si>
  <si>
    <t>-1676.24</t>
  </si>
  <si>
    <t>1626.54</t>
  </si>
  <si>
    <t>-1595.65</t>
  </si>
  <si>
    <t>1654.92</t>
  </si>
  <si>
    <t>-1588.17</t>
  </si>
  <si>
    <t>1599.23</t>
  </si>
  <si>
    <t>-1574.34</t>
  </si>
  <si>
    <t>1593.58</t>
  </si>
  <si>
    <t>-1567.68</t>
  </si>
  <si>
    <t>1517.31</t>
  </si>
  <si>
    <t>-1509.35</t>
  </si>
  <si>
    <t>1526.47</t>
  </si>
  <si>
    <t>-1496.55</t>
  </si>
  <si>
    <t>1508.48</t>
  </si>
  <si>
    <t>-1468.60</t>
  </si>
  <si>
    <t>1474.16</t>
  </si>
  <si>
    <t>-1444.26</t>
  </si>
  <si>
    <t>1463.16</t>
  </si>
  <si>
    <t>-1407.36</t>
  </si>
  <si>
    <t>1371.52</t>
  </si>
  <si>
    <t>-1346.63</t>
  </si>
  <si>
    <t>1342.01</t>
  </si>
  <si>
    <t>-1308.13</t>
  </si>
  <si>
    <t>1315.68</t>
  </si>
  <si>
    <t>-1299.74</t>
  </si>
  <si>
    <t>1244.02</t>
  </si>
  <si>
    <t>-1213.11</t>
  </si>
  <si>
    <t>1163.23</t>
  </si>
  <si>
    <t>-1138.32</t>
  </si>
  <si>
    <t>1978.37</t>
  </si>
  <si>
    <t>-451.90</t>
  </si>
  <si>
    <t>1840.40</t>
  </si>
  <si>
    <t>-366.24</t>
  </si>
  <si>
    <t>1804.36</t>
  </si>
  <si>
    <t>-341.20</t>
  </si>
  <si>
    <t>2281.03</t>
  </si>
  <si>
    <t>-318.35</t>
  </si>
  <si>
    <t>2013.38</t>
  </si>
  <si>
    <t>-306.23</t>
  </si>
  <si>
    <t>1811.08</t>
  </si>
  <si>
    <t>-302.60</t>
  </si>
  <si>
    <t>1954.11</t>
  </si>
  <si>
    <t>-299.19</t>
  </si>
  <si>
    <t>1434.52</t>
  </si>
  <si>
    <t>-271.29</t>
  </si>
  <si>
    <t>1594.34</t>
  </si>
  <si>
    <t>-252.33</t>
  </si>
  <si>
    <t>1829.17</t>
  </si>
  <si>
    <t>-235.59</t>
  </si>
  <si>
    <t>1473.55</t>
  </si>
  <si>
    <t>-229.53</t>
  </si>
  <si>
    <t>1539.94</t>
  </si>
  <si>
    <t>-224.26</t>
  </si>
  <si>
    <t>1726.71</t>
  </si>
  <si>
    <t>-209.40</t>
  </si>
  <si>
    <t>1826.11</t>
  </si>
  <si>
    <t>-199.57</t>
  </si>
  <si>
    <t>1764.68</t>
  </si>
  <si>
    <t>-165.45</t>
  </si>
  <si>
    <t>1497.16</t>
  </si>
  <si>
    <t>-125.64</t>
  </si>
  <si>
    <t>288.29</t>
  </si>
  <si>
    <t>207.41</t>
  </si>
  <si>
    <t>268.39</t>
  </si>
  <si>
    <t>258.28</t>
  </si>
  <si>
    <t>353.14</t>
  </si>
  <si>
    <t>259.26</t>
  </si>
  <si>
    <t>302.40</t>
  </si>
  <si>
    <t>263.28</t>
  </si>
  <si>
    <t>243.47</t>
  </si>
  <si>
    <t>265.37</t>
  </si>
  <si>
    <t>267.40</t>
  </si>
  <si>
    <t>266.36</t>
  </si>
  <si>
    <t>304.15</t>
  </si>
  <si>
    <t>273.31</t>
  </si>
  <si>
    <t>296.29</t>
  </si>
  <si>
    <t>289.29</t>
  </si>
  <si>
    <t>227.38</t>
  </si>
  <si>
    <t>291.26</t>
  </si>
  <si>
    <t>371.13</t>
  </si>
  <si>
    <t>310.27</t>
  </si>
  <si>
    <t>370.15</t>
  </si>
  <si>
    <t>312.33</t>
  </si>
  <si>
    <t>293.31</t>
  </si>
  <si>
    <t>335.27</t>
  </si>
  <si>
    <t>295.28</t>
  </si>
  <si>
    <t>344.37</t>
  </si>
  <si>
    <t>333.24</t>
  </si>
  <si>
    <t>363.17</t>
  </si>
  <si>
    <t>320.16</t>
  </si>
  <si>
    <t>365.22</t>
  </si>
  <si>
    <t>289.26</t>
  </si>
  <si>
    <t>402.00</t>
  </si>
  <si>
    <t>526.67</t>
  </si>
  <si>
    <t>907.85</t>
  </si>
  <si>
    <t>533.76</t>
  </si>
  <si>
    <t>939.79</t>
  </si>
  <si>
    <t>518.64</t>
  </si>
  <si>
    <t>978.52</t>
  </si>
  <si>
    <t>495.70</t>
  </si>
  <si>
    <t>1044.24</t>
  </si>
  <si>
    <t>508.84</t>
  </si>
  <si>
    <t>1085.50</t>
  </si>
  <si>
    <t>612.40</t>
  </si>
  <si>
    <t>1114.31</t>
  </si>
  <si>
    <t>681.40</t>
  </si>
  <si>
    <t>1122.96</t>
  </si>
  <si>
    <t>585.58</t>
  </si>
  <si>
    <t>1179.10</t>
  </si>
  <si>
    <t>628.58</t>
  </si>
  <si>
    <t>1182.50</t>
  </si>
  <si>
    <t>639.65</t>
  </si>
  <si>
    <t>1189.52</t>
  </si>
  <si>
    <t>565.68</t>
  </si>
  <si>
    <t>1260.43</t>
  </si>
  <si>
    <t>691.26</t>
  </si>
  <si>
    <t>1262.85</t>
  </si>
  <si>
    <t>577.46</t>
  </si>
  <si>
    <t>1262.94</t>
  </si>
  <si>
    <t>682.48</t>
  </si>
  <si>
    <t>1295.89</t>
  </si>
  <si>
    <t>685.38</t>
  </si>
  <si>
    <t>1328.00</t>
  </si>
  <si>
    <t>696.41</t>
  </si>
  <si>
    <t>1584.62</t>
  </si>
  <si>
    <t>Q10 Declining Monthly Revenue by Category</t>
  </si>
  <si>
    <t>Store 2</t>
  </si>
  <si>
    <t>Store 1</t>
  </si>
  <si>
    <t>Sum of Monthly Revenue</t>
  </si>
  <si>
    <t>Month</t>
  </si>
  <si>
    <t/>
  </si>
  <si>
    <t>$33, 924 — 7,990 rentals</t>
  </si>
  <si>
    <t>Combined Column</t>
  </si>
  <si>
    <t>$33, 482 — 8,054 rentals</t>
  </si>
  <si>
    <r>
      <rPr>
        <sz val="11"/>
        <color theme="1"/>
        <rFont val="Calibri"/>
        <family val="2"/>
      </rPr>
      <t xml:space="preserve">TOTAL REVENUE                                                            </t>
    </r>
    <r>
      <rPr>
        <b/>
        <sz val="18"/>
        <color rgb="FF1D6F42"/>
        <rFont val="Calibri"/>
        <family val="2"/>
      </rPr>
      <t xml:space="preserve">$67,406  </t>
    </r>
    <r>
      <rPr>
        <sz val="11"/>
        <color theme="1"/>
        <rFont val="Calibri"/>
        <family val="2"/>
      </rPr>
      <t xml:space="preserve">                                                                              </t>
    </r>
    <r>
      <rPr>
        <sz val="11"/>
        <color rgb="FF888780"/>
        <rFont val="Calibri"/>
        <family val="2"/>
      </rPr>
      <t xml:space="preserve">Both stores combined </t>
    </r>
    <r>
      <rPr>
        <sz val="11"/>
        <color theme="1"/>
        <rFont val="Calibri"/>
        <family val="2"/>
      </rPr>
      <t xml:space="preserve">     </t>
    </r>
    <r>
      <rPr>
        <sz val="11"/>
        <color theme="1"/>
        <rFont val="Aptos Narrow"/>
        <family val="2"/>
        <scheme val="minor"/>
      </rPr>
      <t xml:space="preserve">              </t>
    </r>
  </si>
  <si>
    <r>
      <t xml:space="preserve">STORE 1 REVENUE                                                             </t>
    </r>
    <r>
      <rPr>
        <b/>
        <sz val="18"/>
        <color rgb="FF1D6F42"/>
        <rFont val="Calibri"/>
        <family val="2"/>
      </rPr>
      <t xml:space="preserve">$33,482    </t>
    </r>
    <r>
      <rPr>
        <sz val="11"/>
        <color theme="1"/>
        <rFont val="Calibri"/>
        <family val="2"/>
      </rPr>
      <t xml:space="preserve">                                                                             </t>
    </r>
    <r>
      <rPr>
        <sz val="11"/>
        <color rgb="FF888780"/>
        <rFont val="Calibri"/>
        <family val="2"/>
      </rPr>
      <t>49.66% of total</t>
    </r>
  </si>
  <si>
    <r>
      <t xml:space="preserve">TOP STAFF                                                                     </t>
    </r>
    <r>
      <rPr>
        <b/>
        <sz val="18"/>
        <color rgb="FF1D6F42"/>
        <rFont val="Calibri"/>
        <family val="2"/>
      </rPr>
      <t xml:space="preserve">Jon Stephens   </t>
    </r>
    <r>
      <rPr>
        <sz val="11"/>
        <color theme="1"/>
        <rFont val="Calibri"/>
        <family val="2"/>
      </rPr>
      <t xml:space="preserve">                                             </t>
    </r>
    <r>
      <rPr>
        <sz val="11"/>
        <color rgb="FF888780"/>
        <rFont val="Calibri"/>
        <family val="2"/>
      </rPr>
      <t>$33,924  --  7,990 rentals</t>
    </r>
  </si>
  <si>
    <r>
      <rPr>
        <sz val="11"/>
        <rFont val="Calibri"/>
        <family val="2"/>
      </rPr>
      <t>STORE 2 REVENUE</t>
    </r>
    <r>
      <rPr>
        <sz val="11"/>
        <color theme="1"/>
        <rFont val="Calibri"/>
        <family val="2"/>
      </rPr>
      <t xml:space="preserve">                                                              </t>
    </r>
    <r>
      <rPr>
        <b/>
        <sz val="18"/>
        <color rgb="FF1D6F42"/>
        <rFont val="Calibri"/>
        <family val="2"/>
      </rPr>
      <t xml:space="preserve">$33,924 </t>
    </r>
    <r>
      <rPr>
        <sz val="18"/>
        <color theme="1"/>
        <rFont val="Calibri"/>
        <family val="2"/>
      </rPr>
      <t xml:space="preserve">    </t>
    </r>
    <r>
      <rPr>
        <sz val="11"/>
        <color theme="1"/>
        <rFont val="Calibri"/>
        <family val="2"/>
      </rPr>
      <t xml:space="preserve">                                                                             </t>
    </r>
    <r>
      <rPr>
        <sz val="11"/>
        <color rgb="FF888780"/>
        <rFont val="Calibri"/>
        <family val="2"/>
      </rPr>
      <t xml:space="preserve">50.34% of total     </t>
    </r>
    <r>
      <rPr>
        <sz val="11"/>
        <color theme="1"/>
        <rFont val="Calibri"/>
        <family val="2"/>
      </rPr>
      <t xml:space="preserve">   </t>
    </r>
    <r>
      <rPr>
        <sz val="11"/>
        <color theme="1"/>
        <rFont val="Aptos Narrow"/>
        <family val="2"/>
        <scheme val="minor"/>
      </rPr>
      <t xml:space="preserve">                               </t>
    </r>
  </si>
  <si>
    <r>
      <t xml:space="preserve">                                              Sakila Store Performance Dashboard                  </t>
    </r>
    <r>
      <rPr>
        <b/>
        <sz val="9"/>
        <color theme="0"/>
        <rFont val="Calibri"/>
        <family val="2"/>
      </rPr>
      <t xml:space="preserve">                                                                   May 2005 - February 2006</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</si>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</sst>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Aptos Narrow"/>
      <family val="2"/>
      <scheme val="minor"/>
    </font>
    <font>
      <b/>
      <sz val="11"/>
      <color theme="0"/>
      <name val="Aptos Narrow"/>
      <family val="2"/>
      <scheme val="minor"/>
    </font>
    <font>
      <sz val="11"/>
      <color theme="1"/>
      <name val="Calibri"/>
      <family val="2"/>
    </font>
    <font>
      <b/>
      <sz val="18"/>
      <color rgb="FF1D6F42"/>
      <name val="Calibri"/>
      <family val="2"/>
    </font>
    <font>
      <sz val="11"/>
      <color rgb="FF888780"/>
      <name val="Calibri"/>
      <family val="2"/>
    </font>
    <font>
      <sz val="18"/>
      <color theme="1"/>
      <name val="Calibri"/>
      <family val="2"/>
    </font>
    <font>
      <sz val="11"/>
      <name val="Calibri"/>
      <family val="2"/>
    </font>
    <font>
      <b/>
      <sz val="20"/>
      <color theme="0"/>
      <name val="Calibri"/>
      <family val="2"/>
    </font>
    <font>
      <b/>
      <sz val="9"/>
      <color theme="0"/>
      <name val="Calibri"/>
      <family val="2"/>
    </font>
  </fonts>
  <fills count="5">
    <fill>
      <patternFill patternType="none"/>
    </fill>
    <fill>
      <patternFill patternType="gray125"/>
    </fill>
    <fill>
      <patternFill patternType="solid">
        <fgColor theme="9" tint="-0.499984740745262"/>
        <bgColor indexed="64"/>
      </patternFill>
    </fill>
    <fill>
      <patternFill patternType="solid">
        <fgColor rgb="FF1D6F42"/>
        <bgColor indexed="64"/>
      </patternFill>
    </fill>
    <fill>
      <patternFill patternType="solid">
        <fgColor rgb="FFEAF3DE"/>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1D6F42"/>
      </left>
      <right style="thin">
        <color rgb="FF1D6F42"/>
      </right>
      <top style="thin">
        <color rgb="FF1D6F42"/>
      </top>
      <bottom style="thin">
        <color rgb="FF1D6F42"/>
      </bottom>
      <diagonal/>
    </border>
    <border>
      <left style="medium">
        <color rgb="FF1D6F42"/>
      </left>
      <right style="thin">
        <color indexed="64"/>
      </right>
      <top style="medium">
        <color rgb="FF1D6F42"/>
      </top>
      <bottom style="thin">
        <color indexed="64"/>
      </bottom>
      <diagonal/>
    </border>
    <border>
      <left style="thin">
        <color indexed="64"/>
      </left>
      <right style="thin">
        <color indexed="64"/>
      </right>
      <top style="medium">
        <color rgb="FF1D6F42"/>
      </top>
      <bottom style="thin">
        <color indexed="64"/>
      </bottom>
      <diagonal/>
    </border>
    <border>
      <left style="medium">
        <color rgb="FF1D6F42"/>
      </left>
      <right style="thin">
        <color indexed="64"/>
      </right>
      <top style="thin">
        <color indexed="64"/>
      </top>
      <bottom style="thin">
        <color indexed="64"/>
      </bottom>
      <diagonal/>
    </border>
    <border>
      <left style="medium">
        <color rgb="FF1D6F42"/>
      </left>
      <right style="thin">
        <color indexed="64"/>
      </right>
      <top style="thin">
        <color indexed="64"/>
      </top>
      <bottom style="medium">
        <color rgb="FF1D6F42"/>
      </bottom>
      <diagonal/>
    </border>
    <border>
      <left style="thin">
        <color indexed="64"/>
      </left>
      <right style="thin">
        <color indexed="64"/>
      </right>
      <top style="thin">
        <color indexed="64"/>
      </top>
      <bottom style="medium">
        <color rgb="FF1D6F42"/>
      </bottom>
      <diagonal/>
    </border>
    <border>
      <left style="thin">
        <color indexed="64"/>
      </left>
      <right/>
      <top style="medium">
        <color rgb="FF1D6F42"/>
      </top>
      <bottom style="thin">
        <color indexed="64"/>
      </bottom>
      <diagonal/>
    </border>
    <border>
      <left style="thin">
        <color indexed="64"/>
      </left>
      <right/>
      <top style="thin">
        <color indexed="64"/>
      </top>
      <bottom style="medium">
        <color rgb="FF1D6F42"/>
      </bottom>
      <diagonal/>
    </border>
    <border>
      <left style="medium">
        <color rgb="FF1D6F42"/>
      </left>
      <right style="thin">
        <color rgb="FF1D6F42"/>
      </right>
      <top style="medium">
        <color rgb="FF1D6F42"/>
      </top>
      <bottom style="thin">
        <color rgb="FF1D6F42"/>
      </bottom>
      <diagonal/>
    </border>
    <border>
      <left style="thin">
        <color rgb="FF1D6F42"/>
      </left>
      <right style="thin">
        <color rgb="FF1D6F42"/>
      </right>
      <top style="medium">
        <color rgb="FF1D6F42"/>
      </top>
      <bottom style="thin">
        <color rgb="FF1D6F42"/>
      </bottom>
      <diagonal/>
    </border>
    <border>
      <left style="thin">
        <color rgb="FF1D6F42"/>
      </left>
      <right style="medium">
        <color rgb="FF1D6F42"/>
      </right>
      <top style="medium">
        <color rgb="FF1D6F42"/>
      </top>
      <bottom style="thin">
        <color rgb="FF1D6F42"/>
      </bottom>
      <diagonal/>
    </border>
    <border>
      <left style="medium">
        <color rgb="FF1D6F42"/>
      </left>
      <right style="thin">
        <color rgb="FF1D6F42"/>
      </right>
      <top style="thin">
        <color rgb="FF1D6F42"/>
      </top>
      <bottom style="thin">
        <color rgb="FF1D6F42"/>
      </bottom>
      <diagonal/>
    </border>
    <border>
      <left style="thin">
        <color rgb="FF1D6F42"/>
      </left>
      <right style="medium">
        <color rgb="FF1D6F42"/>
      </right>
      <top style="thin">
        <color rgb="FF1D6F42"/>
      </top>
      <bottom style="thin">
        <color rgb="FF1D6F42"/>
      </bottom>
      <diagonal/>
    </border>
    <border>
      <left style="medium">
        <color rgb="FF1D6F42"/>
      </left>
      <right style="thin">
        <color rgb="FF1D6F42"/>
      </right>
      <top style="thin">
        <color rgb="FF1D6F42"/>
      </top>
      <bottom style="medium">
        <color rgb="FF1D6F42"/>
      </bottom>
      <diagonal/>
    </border>
    <border>
      <left style="thin">
        <color rgb="FF1D6F42"/>
      </left>
      <right style="thin">
        <color rgb="FF1D6F42"/>
      </right>
      <top style="thin">
        <color rgb="FF1D6F42"/>
      </top>
      <bottom style="medium">
        <color rgb="FF1D6F42"/>
      </bottom>
      <diagonal/>
    </border>
    <border>
      <left style="thin">
        <color rgb="FF1D6F42"/>
      </left>
      <right style="medium">
        <color rgb="FF1D6F42"/>
      </right>
      <top style="thin">
        <color rgb="FF1D6F42"/>
      </top>
      <bottom style="medium">
        <color rgb="FF1D6F42"/>
      </bottom>
      <diagonal/>
    </border>
    <border>
      <left style="medium">
        <color rgb="FF1D6F42"/>
      </left>
      <right/>
      <top style="medium">
        <color rgb="FF1D6F42"/>
      </top>
      <bottom/>
      <diagonal/>
    </border>
    <border>
      <left/>
      <right/>
      <top style="medium">
        <color rgb="FF1D6F42"/>
      </top>
      <bottom/>
      <diagonal/>
    </border>
    <border>
      <left/>
      <right style="medium">
        <color rgb="FF1D6F42"/>
      </right>
      <top style="medium">
        <color rgb="FF1D6F42"/>
      </top>
      <bottom/>
      <diagonal/>
    </border>
    <border>
      <left style="medium">
        <color rgb="FF1D6F42"/>
      </left>
      <right/>
      <top/>
      <bottom/>
      <diagonal/>
    </border>
    <border>
      <left/>
      <right style="medium">
        <color rgb="FF1D6F42"/>
      </right>
      <top/>
      <bottom/>
      <diagonal/>
    </border>
    <border>
      <left style="medium">
        <color rgb="FF1D6F42"/>
      </left>
      <right/>
      <top/>
      <bottom style="medium">
        <color rgb="FF1D6F42"/>
      </bottom>
      <diagonal/>
    </border>
    <border>
      <left/>
      <right/>
      <top/>
      <bottom style="medium">
        <color rgb="FF1D6F42"/>
      </bottom>
      <diagonal/>
    </border>
    <border>
      <left/>
      <right style="medium">
        <color rgb="FF1D6F42"/>
      </right>
      <top/>
      <bottom style="medium">
        <color rgb="FF1D6F42"/>
      </bottom>
      <diagonal/>
    </border>
    <border>
      <left style="medium">
        <color rgb="FF1D6F42"/>
      </left>
      <right/>
      <top style="medium">
        <color rgb="FF1D6F42"/>
      </top>
      <bottom style="medium">
        <color rgb="FF1D6F42"/>
      </bottom>
      <diagonal/>
    </border>
    <border>
      <left/>
      <right/>
      <top style="medium">
        <color rgb="FF1D6F42"/>
      </top>
      <bottom style="medium">
        <color rgb="FF1D6F42"/>
      </bottom>
      <diagonal/>
    </border>
    <border>
      <left/>
      <right style="medium">
        <color rgb="FF1D6F42"/>
      </right>
      <top style="medium">
        <color rgb="FF1D6F42"/>
      </top>
      <bottom style="medium">
        <color rgb="FF1D6F42"/>
      </bottom>
      <diagonal/>
    </border>
  </borders>
  <cellStyleXfs count="1">
    <xf numFmtId="0" fontId="0" fillId="0" borderId="0"/>
  </cellStyleXfs>
  <cellXfs count="43">
    <xf numFmtId="0" fontId="0" fillId="0" borderId="0" xfId="0"/>
    <xf numFmtId="22" fontId="0" fillId="0" borderId="0" xfId="0" applyNumberFormat="1"/>
    <xf numFmtId="164" fontId="0" fillId="0" borderId="0" xfId="0" applyNumberFormat="1"/>
    <xf numFmtId="14"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0" fillId="0" borderId="0" xfId="0" pivotButton="1"/>
    <xf numFmtId="14" fontId="0" fillId="0" borderId="0" xfId="0" applyNumberFormat="1" applyAlignment="1">
      <alignment horizontal="left"/>
    </xf>
    <xf numFmtId="0" fontId="0" fillId="0" borderId="0" xfId="0" applyAlignment="1">
      <alignment horizontal="left" vertical="top"/>
    </xf>
    <xf numFmtId="164" fontId="0" fillId="0" borderId="0" xfId="0" applyNumberFormat="1" applyAlignment="1">
      <alignment horizontal="left" vertical="top"/>
    </xf>
    <xf numFmtId="0" fontId="0" fillId="0" borderId="0" xfId="0" applyAlignment="1">
      <alignment vertical="top" wrapText="1"/>
    </xf>
    <xf numFmtId="0" fontId="0" fillId="4" borderId="0" xfId="0" applyFill="1"/>
    <xf numFmtId="0" fontId="0" fillId="0" borderId="0" xfId="0" applyFill="1"/>
    <xf numFmtId="0" fontId="0" fillId="0" borderId="1" xfId="0" applyFill="1" applyBorder="1" applyAlignment="1">
      <alignment horizontal="center" vertical="top" wrapText="1"/>
    </xf>
    <xf numFmtId="0" fontId="0" fillId="0" borderId="2" xfId="0" applyFill="1" applyBorder="1" applyAlignment="1">
      <alignment horizontal="center" vertical="top" wrapText="1"/>
    </xf>
    <xf numFmtId="0" fontId="0" fillId="0" borderId="3" xfId="0" applyFill="1" applyBorder="1" applyAlignment="1">
      <alignment horizontal="center" vertical="center" wrapText="1"/>
    </xf>
    <xf numFmtId="0" fontId="0" fillId="0" borderId="4" xfId="0" applyFill="1" applyBorder="1" applyAlignment="1">
      <alignment horizontal="center" vertical="top" wrapText="1"/>
    </xf>
    <xf numFmtId="0" fontId="0" fillId="0" borderId="5" xfId="0" applyFill="1" applyBorder="1" applyAlignment="1">
      <alignment horizontal="center" vertical="top" wrapText="1"/>
    </xf>
    <xf numFmtId="0" fontId="0" fillId="0" borderId="6" xfId="0" applyFill="1" applyBorder="1" applyAlignment="1">
      <alignment horizontal="center" vertical="top" wrapText="1"/>
    </xf>
    <xf numFmtId="0" fontId="0" fillId="0" borderId="7" xfId="0" applyFill="1" applyBorder="1" applyAlignment="1">
      <alignment horizontal="center" vertical="top" wrapText="1"/>
    </xf>
    <xf numFmtId="0" fontId="0" fillId="0" borderId="8" xfId="0" applyFill="1" applyBorder="1" applyAlignment="1">
      <alignment horizontal="center" vertical="top" wrapText="1"/>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11"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5"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18" xfId="0" applyFill="1" applyBorder="1" applyAlignment="1">
      <alignment horizontal="center" vertical="center" wrapText="1"/>
    </xf>
    <xf numFmtId="0" fontId="2" fillId="0" borderId="19" xfId="0" applyFont="1" applyFill="1" applyBorder="1" applyAlignment="1">
      <alignment horizontal="center" vertical="center" wrapText="1"/>
    </xf>
    <xf numFmtId="0" fontId="0" fillId="0" borderId="20"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25" xfId="0" applyFill="1" applyBorder="1" applyAlignment="1">
      <alignment horizontal="center" vertical="center" wrapText="1"/>
    </xf>
    <xf numFmtId="0" fontId="0" fillId="0" borderId="26" xfId="0" applyFill="1" applyBorder="1" applyAlignment="1">
      <alignment horizontal="center" vertical="center" wrapText="1"/>
    </xf>
    <xf numFmtId="0" fontId="0" fillId="3" borderId="28" xfId="0" applyFill="1" applyBorder="1" applyAlignment="1">
      <alignment horizontal="center"/>
    </xf>
    <xf numFmtId="0" fontId="0" fillId="3" borderId="29" xfId="0" applyFill="1" applyBorder="1" applyAlignment="1">
      <alignment horizontal="center"/>
    </xf>
    <xf numFmtId="0" fontId="7" fillId="3" borderId="27" xfId="0" applyFont="1" applyFill="1" applyBorder="1" applyAlignment="1">
      <alignment horizontal="center"/>
    </xf>
  </cellXfs>
  <cellStyles count="1">
    <cellStyle name="Normal" xfId="0" builtinId="0"/>
  </cellStyles>
  <dxfs count="21">
    <dxf>
      <alignment vertical="top" textRotation="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4" formatCode="&quot;$&quot;#,##0.00"/>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vertical="top" textRotation="0" indent="0" justifyLastLine="0" shrinkToFit="0" readingOrder="0"/>
    </dxf>
    <dxf>
      <numFmt numFmtId="164" formatCode="&quot;$&quot;#,##0.00"/>
    </dxf>
    <dxf>
      <numFmt numFmtId="27" formatCode="m/d/yyyy\ h:mm"/>
    </dxf>
    <dxf>
      <numFmt numFmtId="27" formatCode="m/d/yyyy\ h:mm"/>
    </dxf>
    <dxf>
      <numFmt numFmtId="164" formatCode="&quot;$&quot;#,##0.00"/>
    </dxf>
    <dxf>
      <numFmt numFmtId="164" formatCode="&quot;$&quot;#,##0.00"/>
    </dxf>
    <dxf>
      <numFmt numFmtId="0" formatCode="General"/>
    </dxf>
    <dxf>
      <numFmt numFmtId="164" formatCode="&quot;$&quot;#,##0.00"/>
    </dxf>
    <dxf>
      <numFmt numFmtId="19" formatCode="m/d/yyyy"/>
    </dxf>
    <dxf>
      <numFmt numFmtId="0" formatCode="General"/>
    </dxf>
    <dxf>
      <numFmt numFmtId="164" formatCode="&quot;$&quot;#,##0.00"/>
    </dxf>
    <dxf>
      <numFmt numFmtId="164" formatCode="&quot;$&quot;#,##0.00"/>
    </dxf>
    <dxf>
      <numFmt numFmtId="19" formatCode="m/d/yyyy"/>
    </dxf>
    <dxf>
      <numFmt numFmtId="0" formatCode="General"/>
    </dxf>
  </dxfs>
  <tableStyles count="0" defaultTableStyle="TableStyleMedium2" defaultPivotStyle="PivotStyleLight16"/>
  <colors>
    <mruColors>
      <color rgb="FF1D6F42"/>
      <color rgb="FF888780"/>
      <color rgb="FFEAF3DE"/>
      <color rgb="FF9FE1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latin typeface="Calibri" panose="020F0502020204030204" pitchFamily="34" charset="0"/>
                <a:ea typeface="Calibri" panose="020F0502020204030204" pitchFamily="34" charset="0"/>
                <a:cs typeface="Calibri" panose="020F0502020204030204" pitchFamily="34" charset="0"/>
              </a:rPr>
              <a:t>Total Revenue by Store</a:t>
            </a:r>
          </a:p>
        </c:rich>
      </c:tx>
      <c:layout>
        <c:manualLayout>
          <c:xMode val="edge"/>
          <c:yMode val="edge"/>
          <c:x val="0.31820822397200349"/>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Total_Revenue!$B$2</c:f>
              <c:strCache>
                <c:ptCount val="1"/>
                <c:pt idx="0">
                  <c:v>Total Revenue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177D-4B59-AAA4-F5E021A7C717}"/>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2-177D-4B59-AAA4-F5E021A7C7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Total_Revenue!$A$3:$A$4</c:f>
              <c:strCache>
                <c:ptCount val="2"/>
                <c:pt idx="0">
                  <c:v>Store 2</c:v>
                </c:pt>
                <c:pt idx="1">
                  <c:v>Store 1</c:v>
                </c:pt>
              </c:strCache>
            </c:strRef>
          </c:cat>
          <c:val>
            <c:numRef>
              <c:f>Total_Revenue!$B$3:$B$4</c:f>
              <c:numCache>
                <c:formatCode>"$"#,##0.00</c:formatCode>
                <c:ptCount val="2"/>
                <c:pt idx="0">
                  <c:v>33924.06</c:v>
                </c:pt>
                <c:pt idx="1">
                  <c:v>33482.5</c:v>
                </c:pt>
              </c:numCache>
            </c:numRef>
          </c:val>
          <c:extLst>
            <c:ext xmlns:c16="http://schemas.microsoft.com/office/drawing/2014/chart" uri="{C3380CC4-5D6E-409C-BE32-E72D297353CC}">
              <c16:uniqueId val="{00000000-177D-4B59-AAA4-F5E021A7C717}"/>
            </c:ext>
          </c:extLst>
        </c:ser>
        <c:dLbls>
          <c:dLblPos val="inEnd"/>
          <c:showLegendKey val="0"/>
          <c:showVal val="1"/>
          <c:showCatName val="0"/>
          <c:showSerName val="0"/>
          <c:showPercent val="0"/>
          <c:showBubbleSize val="0"/>
        </c:dLbls>
        <c:gapWidth val="100"/>
        <c:overlap val="-24"/>
        <c:axId val="1372512911"/>
        <c:axId val="1372513391"/>
        <c:extLst>
          <c:ext xmlns:c15="http://schemas.microsoft.com/office/drawing/2012/chart" uri="{02D57815-91ED-43cb-92C2-25804820EDAC}">
            <c15:filteredBarSeries>
              <c15:ser>
                <c:idx val="0"/>
                <c:order val="0"/>
                <c:tx>
                  <c:strRef>
                    <c:extLst>
                      <c:ext uri="{02D57815-91ED-43cb-92C2-25804820EDAC}">
                        <c15:formulaRef>
                          <c15:sqref>Total_Revenue!$A$2</c15:sqref>
                        </c15:formulaRef>
                      </c:ext>
                    </c:extLst>
                    <c:strCache>
                      <c:ptCount val="1"/>
                      <c:pt idx="0">
                        <c:v>store_id</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Total_Revenue!$A$3:$A$4</c15:sqref>
                        </c15:formulaRef>
                      </c:ext>
                    </c:extLst>
                    <c:strCache>
                      <c:ptCount val="2"/>
                      <c:pt idx="0">
                        <c:v>Store 2</c:v>
                      </c:pt>
                      <c:pt idx="1">
                        <c:v>Store 1</c:v>
                      </c:pt>
                    </c:strCache>
                  </c:strRef>
                </c:cat>
                <c:val>
                  <c:numRef>
                    <c:extLst>
                      <c:ext uri="{02D57815-91ED-43cb-92C2-25804820EDAC}">
                        <c15:formulaRef>
                          <c15:sqref>Total_Revenue!$A$3:$A$4</c15:sqref>
                        </c15:formulaRef>
                      </c:ext>
                    </c:extLst>
                    <c:numCache>
                      <c:formatCode>General</c:formatCode>
                      <c:ptCount val="2"/>
                      <c:pt idx="0">
                        <c:v>0</c:v>
                      </c:pt>
                      <c:pt idx="1">
                        <c:v>0</c:v>
                      </c:pt>
                    </c:numCache>
                  </c:numRef>
                </c:val>
                <c:extLst>
                  <c:ext xmlns:c16="http://schemas.microsoft.com/office/drawing/2014/chart" uri="{C3380CC4-5D6E-409C-BE32-E72D297353CC}">
                    <c16:uniqueId val="{00000001-177D-4B59-AAA4-F5E021A7C717}"/>
                  </c:ext>
                </c:extLst>
              </c15:ser>
            </c15:filteredBarSeries>
          </c:ext>
        </c:extLst>
      </c:barChart>
      <c:catAx>
        <c:axId val="1372512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2513391"/>
        <c:crosses val="autoZero"/>
        <c:auto val="1"/>
        <c:lblAlgn val="ctr"/>
        <c:lblOffset val="100"/>
        <c:noMultiLvlLbl val="0"/>
      </c:catAx>
      <c:valAx>
        <c:axId val="1372513391"/>
        <c:scaling>
          <c:orientation val="minMax"/>
          <c:min val="0"/>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2512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bg1">
            <a:lumMod val="65000"/>
          </a:schemeClr>
        </a:gs>
        <a:gs pos="83000">
          <a:schemeClr val="bg1">
            <a:lumMod val="65000"/>
          </a:schemeClr>
        </a:gs>
        <a:gs pos="100000">
          <a:schemeClr val="bg2">
            <a:lumMod val="75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latin typeface="Calibri" panose="020F0502020204030204" pitchFamily="34" charset="0"/>
                <a:ea typeface="Calibri" panose="020F0502020204030204" pitchFamily="34" charset="0"/>
                <a:cs typeface="Calibri" panose="020F0502020204030204" pitchFamily="34" charset="0"/>
              </a:rPr>
              <a:t>Store Percentage Contribution</a:t>
            </a:r>
          </a:p>
        </c:rich>
      </c:tx>
      <c:layout>
        <c:manualLayout>
          <c:xMode val="edge"/>
          <c:yMode val="edge"/>
          <c:x val="0.22785411198600175"/>
          <c:y val="5.55555555555555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Store_Contribution!$C$2</c:f>
              <c:strCache>
                <c:ptCount val="1"/>
                <c:pt idx="0">
                  <c:v>Percentage Contribution</c:v>
                </c:pt>
              </c:strCache>
            </c:strRef>
          </c:tx>
          <c:dPt>
            <c:idx val="0"/>
            <c:bubble3D val="0"/>
            <c:spPr>
              <a:solidFill>
                <a:schemeClr val="accent3">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860-41A3-9D8F-3ED222178678}"/>
              </c:ext>
            </c:extLst>
          </c:dPt>
          <c:dPt>
            <c:idx val="1"/>
            <c:bubble3D val="0"/>
            <c:spPr>
              <a:solidFill>
                <a:schemeClr val="accent3">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860-41A3-9D8F-3ED222178678}"/>
              </c:ext>
            </c:extLst>
          </c:dPt>
          <c:dLbls>
            <c:dLbl>
              <c:idx val="0"/>
              <c:tx>
                <c:rich>
                  <a:bodyPr/>
                  <a:lstStyle/>
                  <a:p>
                    <a:fld id="{BB30E2B9-2563-4977-A6D1-2DF3EA7A35C7}" type="CATEGORYNAME">
                      <a:rPr lang="en-US">
                        <a:latin typeface="Calibri" panose="020F0502020204030204" pitchFamily="34" charset="0"/>
                        <a:ea typeface="Calibri" panose="020F0502020204030204" pitchFamily="34" charset="0"/>
                        <a:cs typeface="Calibri" panose="020F0502020204030204" pitchFamily="34" charset="0"/>
                      </a:rPr>
                      <a:pPr/>
                      <a:t>[CATEGORY NAME]</a:t>
                    </a:fld>
                    <a:r>
                      <a:rPr lang="en-US" baseline="0">
                        <a:latin typeface="Calibri" panose="020F0502020204030204" pitchFamily="34" charset="0"/>
                        <a:ea typeface="Calibri" panose="020F0502020204030204" pitchFamily="34" charset="0"/>
                        <a:cs typeface="Calibri" panose="020F0502020204030204" pitchFamily="34" charset="0"/>
                      </a:rPr>
                      <a:t>
</a:t>
                    </a:r>
                    <a:fld id="{6A31695F-CE05-42EB-97A4-6A084EA44CD3}" type="PERCENTAGE">
                      <a:rPr lang="en-US" baseline="0">
                        <a:latin typeface="Calibri" panose="020F0502020204030204" pitchFamily="34" charset="0"/>
                        <a:ea typeface="Calibri" panose="020F0502020204030204" pitchFamily="34" charset="0"/>
                        <a:cs typeface="Calibri" panose="020F0502020204030204" pitchFamily="34" charset="0"/>
                      </a:rPr>
                      <a:pPr/>
                      <a:t>[PERCENTAGE]</a:t>
                    </a:fld>
                    <a:endParaRPr lang="en-US" baseline="0">
                      <a:latin typeface="Calibri" panose="020F0502020204030204" pitchFamily="34" charset="0"/>
                      <a:ea typeface="Calibri" panose="020F0502020204030204" pitchFamily="34" charset="0"/>
                      <a:cs typeface="Calibri" panose="020F0502020204030204" pitchFamily="34" charset="0"/>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60-41A3-9D8F-3ED222178678}"/>
                </c:ext>
              </c:extLst>
            </c:dLbl>
            <c:dLbl>
              <c:idx val="1"/>
              <c:tx>
                <c:rich>
                  <a:bodyPr/>
                  <a:lstStyle/>
                  <a:p>
                    <a:fld id="{2F058865-D65F-4AC2-8B76-5A083A16D5F4}" type="CATEGORYNAME">
                      <a:rPr lang="en-US">
                        <a:latin typeface="Calibri" panose="020F0502020204030204" pitchFamily="34" charset="0"/>
                        <a:ea typeface="Calibri" panose="020F0502020204030204" pitchFamily="34" charset="0"/>
                        <a:cs typeface="Calibri" panose="020F0502020204030204" pitchFamily="34" charset="0"/>
                      </a:rPr>
                      <a:pPr/>
                      <a:t>[CATEGORY NAME]</a:t>
                    </a:fld>
                    <a:r>
                      <a:rPr lang="en-US" baseline="0">
                        <a:latin typeface="Calibri" panose="020F0502020204030204" pitchFamily="34" charset="0"/>
                        <a:ea typeface="Calibri" panose="020F0502020204030204" pitchFamily="34" charset="0"/>
                        <a:cs typeface="Calibri" panose="020F0502020204030204" pitchFamily="34" charset="0"/>
                      </a:rPr>
                      <a:t>
</a:t>
                    </a:r>
                    <a:fld id="{943E0CB4-DEC0-43E9-AE19-8B361E90C4EC}" type="PERCENTAGE">
                      <a:rPr lang="en-US" baseline="0">
                        <a:latin typeface="Calibri" panose="020F0502020204030204" pitchFamily="34" charset="0"/>
                        <a:ea typeface="Calibri" panose="020F0502020204030204" pitchFamily="34" charset="0"/>
                        <a:cs typeface="Calibri" panose="020F0502020204030204" pitchFamily="34" charset="0"/>
                      </a:rPr>
                      <a:pPr/>
                      <a:t>[PERCENTAGE]</a:t>
                    </a:fld>
                    <a:endParaRPr lang="en-US" baseline="0">
                      <a:latin typeface="Calibri" panose="020F0502020204030204" pitchFamily="34" charset="0"/>
                      <a:ea typeface="Calibri" panose="020F0502020204030204" pitchFamily="34" charset="0"/>
                      <a:cs typeface="Calibri" panose="020F0502020204030204" pitchFamily="34" charset="0"/>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860-41A3-9D8F-3ED22217867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Store_Contribution!$A$3:$A$4</c:f>
              <c:strCache>
                <c:ptCount val="2"/>
                <c:pt idx="0">
                  <c:v>Store 2</c:v>
                </c:pt>
                <c:pt idx="1">
                  <c:v>Store 1</c:v>
                </c:pt>
              </c:strCache>
            </c:strRef>
          </c:cat>
          <c:val>
            <c:numRef>
              <c:f>Store_Contribution!$C$3:$C$4</c:f>
              <c:numCache>
                <c:formatCode>General</c:formatCode>
                <c:ptCount val="2"/>
                <c:pt idx="0">
                  <c:v>50.33</c:v>
                </c:pt>
                <c:pt idx="1">
                  <c:v>49.67</c:v>
                </c:pt>
              </c:numCache>
            </c:numRef>
          </c:val>
          <c:extLst>
            <c:ext xmlns:c16="http://schemas.microsoft.com/office/drawing/2014/chart" uri="{C3380CC4-5D6E-409C-BE32-E72D297353CC}">
              <c16:uniqueId val="{00000004-8860-41A3-9D8F-3ED22217867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[Sakila_Report.xlsx]Monthly_Revenue!PivotTable1</c:name>
    <c:fmtId val="1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solidFill>
                  <a:schemeClr val="tx1"/>
                </a:solidFill>
                <a:latin typeface="Calibri" panose="020F0502020204030204" pitchFamily="34" charset="0"/>
                <a:ea typeface="Calibri" panose="020F0502020204030204" pitchFamily="34" charset="0"/>
                <a:cs typeface="Calibri" panose="020F0502020204030204" pitchFamily="34" charset="0"/>
              </a:rPr>
              <a:t>Monthly Revenue Trend by Store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6"/>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Monthly_Revenue!$B$15:$B$16</c:f>
              <c:strCache>
                <c:ptCount val="1"/>
                <c:pt idx="0">
                  <c:v>Store 1</c:v>
                </c:pt>
              </c:strCache>
            </c:strRef>
          </c:tx>
          <c:spPr>
            <a:ln w="22225" cap="rnd" cmpd="sng" algn="ctr">
              <a:solidFill>
                <a:schemeClr val="accent6">
                  <a:tint val="77000"/>
                </a:schemeClr>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cat>
            <c:strRef>
              <c:f>Monthly_Revenue!$A$17:$A$21</c:f>
              <c:strCache>
                <c:ptCount val="5"/>
                <c:pt idx="0">
                  <c:v>5/1/2005</c:v>
                </c:pt>
                <c:pt idx="1">
                  <c:v>6/1/2005</c:v>
                </c:pt>
                <c:pt idx="2">
                  <c:v>7/1/2005</c:v>
                </c:pt>
                <c:pt idx="3">
                  <c:v>8/1/2005</c:v>
                </c:pt>
                <c:pt idx="4">
                  <c:v>2/1/2006</c:v>
                </c:pt>
              </c:strCache>
            </c:strRef>
          </c:cat>
          <c:val>
            <c:numRef>
              <c:f>Monthly_Revenue!$B$17:$B$21</c:f>
              <c:numCache>
                <c:formatCode>"$"#,##0.00</c:formatCode>
                <c:ptCount val="5"/>
                <c:pt idx="0">
                  <c:v>2621.83</c:v>
                </c:pt>
                <c:pt idx="1">
                  <c:v>4774.37</c:v>
                </c:pt>
                <c:pt idx="2">
                  <c:v>13998.56</c:v>
                </c:pt>
                <c:pt idx="3">
                  <c:v>11853.65</c:v>
                </c:pt>
                <c:pt idx="4">
                  <c:v>234.09</c:v>
                </c:pt>
              </c:numCache>
            </c:numRef>
          </c:val>
          <c:smooth val="0"/>
          <c:extLst>
            <c:ext xmlns:c16="http://schemas.microsoft.com/office/drawing/2014/chart" uri="{C3380CC4-5D6E-409C-BE32-E72D297353CC}">
              <c16:uniqueId val="{00000000-F5B3-4852-A2D5-132016BD2818}"/>
            </c:ext>
          </c:extLst>
        </c:ser>
        <c:ser>
          <c:idx val="1"/>
          <c:order val="1"/>
          <c:tx>
            <c:strRef>
              <c:f>Monthly_Revenue!$C$15:$C$16</c:f>
              <c:strCache>
                <c:ptCount val="1"/>
                <c:pt idx="0">
                  <c:v>Store 2</c:v>
                </c:pt>
              </c:strCache>
            </c:strRef>
          </c:tx>
          <c:spPr>
            <a:ln w="22225" cap="rnd" cmpd="sng" algn="ctr">
              <a:solidFill>
                <a:schemeClr val="accent6">
                  <a:shade val="76000"/>
                </a:schemeClr>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cat>
            <c:strRef>
              <c:f>Monthly_Revenue!$A$17:$A$21</c:f>
              <c:strCache>
                <c:ptCount val="5"/>
                <c:pt idx="0">
                  <c:v>5/1/2005</c:v>
                </c:pt>
                <c:pt idx="1">
                  <c:v>6/1/2005</c:v>
                </c:pt>
                <c:pt idx="2">
                  <c:v>7/1/2005</c:v>
                </c:pt>
                <c:pt idx="3">
                  <c:v>8/1/2005</c:v>
                </c:pt>
                <c:pt idx="4">
                  <c:v>2/1/2006</c:v>
                </c:pt>
              </c:strCache>
            </c:strRef>
          </c:cat>
          <c:val>
            <c:numRef>
              <c:f>Monthly_Revenue!$C$17:$C$21</c:f>
              <c:numCache>
                <c:formatCode>"$"#,##0.00</c:formatCode>
                <c:ptCount val="5"/>
                <c:pt idx="0">
                  <c:v>2201.61</c:v>
                </c:pt>
                <c:pt idx="1">
                  <c:v>4855.5200000000004</c:v>
                </c:pt>
                <c:pt idx="2">
                  <c:v>14370.35</c:v>
                </c:pt>
                <c:pt idx="3">
                  <c:v>12216.49</c:v>
                </c:pt>
                <c:pt idx="4">
                  <c:v>280.08999999999997</c:v>
                </c:pt>
              </c:numCache>
            </c:numRef>
          </c:val>
          <c:smooth val="0"/>
          <c:extLst>
            <c:ext xmlns:c16="http://schemas.microsoft.com/office/drawing/2014/chart" uri="{C3380CC4-5D6E-409C-BE32-E72D297353CC}">
              <c16:uniqueId val="{00000001-F5B3-4852-A2D5-132016BD281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6988239"/>
        <c:axId val="216984879"/>
      </c:lineChart>
      <c:catAx>
        <c:axId val="21698823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6984879"/>
        <c:crosses val="autoZero"/>
        <c:auto val="1"/>
        <c:lblAlgn val="ctr"/>
        <c:lblOffset val="100"/>
        <c:noMultiLvlLbl val="0"/>
      </c:catAx>
      <c:valAx>
        <c:axId val="21698487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698823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Calibri" panose="020F0502020204030204" pitchFamily="34" charset="0"/>
                <a:ea typeface="Calibri" panose="020F0502020204030204" pitchFamily="34" charset="0"/>
                <a:cs typeface="Calibri" panose="020F0502020204030204" pitchFamily="34" charset="0"/>
              </a:rPr>
              <a:t>Top 5 Revenue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Top_Category_Revenue!$B$2</c:f>
              <c:strCache>
                <c:ptCount val="1"/>
                <c:pt idx="0">
                  <c:v>Category Revenue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Top_Category_Revenue!$A$3:$A$7</c:f>
              <c:strCache>
                <c:ptCount val="5"/>
                <c:pt idx="0">
                  <c:v>Sports</c:v>
                </c:pt>
                <c:pt idx="1">
                  <c:v>Sci-Fi</c:v>
                </c:pt>
                <c:pt idx="2">
                  <c:v>Animation</c:v>
                </c:pt>
                <c:pt idx="3">
                  <c:v>Drama</c:v>
                </c:pt>
                <c:pt idx="4">
                  <c:v>Comedy</c:v>
                </c:pt>
              </c:strCache>
            </c:strRef>
          </c:cat>
          <c:val>
            <c:numRef>
              <c:f>Top_Category_Revenue!$B$3:$B$7</c:f>
              <c:numCache>
                <c:formatCode>"$"#,##0.00</c:formatCode>
                <c:ptCount val="5"/>
                <c:pt idx="0">
                  <c:v>5314.21</c:v>
                </c:pt>
                <c:pt idx="1">
                  <c:v>4756.9799999999996</c:v>
                </c:pt>
                <c:pt idx="2">
                  <c:v>4656.3</c:v>
                </c:pt>
                <c:pt idx="3">
                  <c:v>4587.3900000000003</c:v>
                </c:pt>
                <c:pt idx="4">
                  <c:v>4383.58</c:v>
                </c:pt>
              </c:numCache>
            </c:numRef>
          </c:val>
          <c:extLst>
            <c:ext xmlns:c16="http://schemas.microsoft.com/office/drawing/2014/chart" uri="{C3380CC4-5D6E-409C-BE32-E72D297353CC}">
              <c16:uniqueId val="{00000000-B084-491E-AF96-1D6EE903F428}"/>
            </c:ext>
          </c:extLst>
        </c:ser>
        <c:dLbls>
          <c:dLblPos val="inEnd"/>
          <c:showLegendKey val="0"/>
          <c:showVal val="1"/>
          <c:showCatName val="0"/>
          <c:showSerName val="0"/>
          <c:showPercent val="0"/>
          <c:showBubbleSize val="0"/>
        </c:dLbls>
        <c:gapWidth val="65"/>
        <c:axId val="1755230559"/>
        <c:axId val="1755235359"/>
      </c:barChart>
      <c:catAx>
        <c:axId val="17552305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5235359"/>
        <c:crosses val="autoZero"/>
        <c:auto val="1"/>
        <c:lblAlgn val="ctr"/>
        <c:lblOffset val="100"/>
        <c:noMultiLvlLbl val="0"/>
      </c:catAx>
      <c:valAx>
        <c:axId val="1755235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523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latin typeface="Calibri" panose="020F0502020204030204" pitchFamily="34" charset="0"/>
                <a:ea typeface="Calibri" panose="020F0502020204030204" pitchFamily="34" charset="0"/>
                <a:cs typeface="Calibri" panose="020F0502020204030204" pitchFamily="34" charset="0"/>
              </a:rPr>
              <a:t>Staff Performance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Staff_Performance!$D$2</c:f>
              <c:strCache>
                <c:ptCount val="1"/>
                <c:pt idx="0">
                  <c:v>Total Revenue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dLbl>
              <c:idx val="0"/>
              <c:tx>
                <c:rich>
                  <a:bodyPr/>
                  <a:lstStyle/>
                  <a:p>
                    <a:fld id="{02D50FD9-7520-4A9A-8E56-AA56A2923C3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4A8-4B33-B7D2-ACED6E99368A}"/>
                </c:ext>
              </c:extLst>
            </c:dLbl>
            <c:dLbl>
              <c:idx val="1"/>
              <c:tx>
                <c:rich>
                  <a:bodyPr/>
                  <a:lstStyle/>
                  <a:p>
                    <a:fld id="{317DE62A-31CD-470B-9C7F-ABC449C371B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4A8-4B33-B7D2-ACED6E9936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Staff_Performance!$A$3:$A$4</c:f>
              <c:strCache>
                <c:ptCount val="2"/>
                <c:pt idx="0">
                  <c:v>Jon Stephens</c:v>
                </c:pt>
                <c:pt idx="1">
                  <c:v>Mike Hillyer</c:v>
                </c:pt>
              </c:strCache>
            </c:strRef>
          </c:cat>
          <c:val>
            <c:numRef>
              <c:f>Staff_Performance!$D$3:$D$4</c:f>
              <c:numCache>
                <c:formatCode>"$"#,##0.00</c:formatCode>
                <c:ptCount val="2"/>
                <c:pt idx="0">
                  <c:v>33924.06</c:v>
                </c:pt>
                <c:pt idx="1">
                  <c:v>33482.5</c:v>
                </c:pt>
              </c:numCache>
            </c:numRef>
          </c:val>
          <c:extLst>
            <c:ext xmlns:c15="http://schemas.microsoft.com/office/drawing/2012/chart" uri="{02D57815-91ED-43cb-92C2-25804820EDAC}">
              <c15:datalabelsRange>
                <c15:f>Staff_Performance!$G$3:$G$4</c15:f>
                <c15:dlblRangeCache>
                  <c:ptCount val="2"/>
                  <c:pt idx="0">
                    <c:v>$33, 924 — 7,990 rentals</c:v>
                  </c:pt>
                  <c:pt idx="1">
                    <c:v>$33, 482 — 8,054 rentals</c:v>
                  </c:pt>
                </c15:dlblRangeCache>
              </c15:datalabelsRange>
            </c:ext>
            <c:ext xmlns:c16="http://schemas.microsoft.com/office/drawing/2014/chart" uri="{C3380CC4-5D6E-409C-BE32-E72D297353CC}">
              <c16:uniqueId val="{00000002-B4A8-4B33-B7D2-ACED6E99368A}"/>
            </c:ext>
          </c:extLst>
        </c:ser>
        <c:dLbls>
          <c:showLegendKey val="0"/>
          <c:showVal val="0"/>
          <c:showCatName val="0"/>
          <c:showSerName val="0"/>
          <c:showPercent val="0"/>
          <c:showBubbleSize val="0"/>
        </c:dLbls>
        <c:gapWidth val="326"/>
        <c:overlap val="-58"/>
        <c:axId val="2009374015"/>
        <c:axId val="2009377375"/>
      </c:barChart>
      <c:catAx>
        <c:axId val="200937401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77375"/>
        <c:crosses val="autoZero"/>
        <c:auto val="1"/>
        <c:lblAlgn val="ctr"/>
        <c:lblOffset val="100"/>
        <c:noMultiLvlLbl val="0"/>
      </c:catAx>
      <c:valAx>
        <c:axId val="2009377375"/>
        <c:scaling>
          <c:orientation val="minMax"/>
          <c:max val="35000"/>
          <c:min val="0"/>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7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21431</xdr:colOff>
      <xdr:row>4</xdr:row>
      <xdr:rowOff>16667</xdr:rowOff>
    </xdr:from>
    <xdr:to>
      <xdr:col>7</xdr:col>
      <xdr:colOff>609600</xdr:colOff>
      <xdr:row>19</xdr:row>
      <xdr:rowOff>152399</xdr:rowOff>
    </xdr:to>
    <xdr:graphicFrame macro="">
      <xdr:nvGraphicFramePr>
        <xdr:cNvPr id="2" name="Chart 2">
          <a:extLst>
            <a:ext uri="{FF2B5EF4-FFF2-40B4-BE49-F238E27FC236}">
              <a16:creationId xmlns:a16="http://schemas.microsoft.com/office/drawing/2014/main" id="{F17829D2-C740-A61D-A618-73AF71213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647699</xdr:colOff>
      <xdr:row>4</xdr:row>
      <xdr:rowOff>14286</xdr:rowOff>
    </xdr:from>
    <xdr:to>
      <xdr:col>15</xdr:col>
      <xdr:colOff>595312</xdr:colOff>
      <xdr:row>19</xdr:row>
      <xdr:rowOff>161924</xdr:rowOff>
    </xdr:to>
    <xdr:graphicFrame macro="">
      <xdr:nvGraphicFramePr>
        <xdr:cNvPr id="3" name="Chart 6">
          <a:extLst>
            <a:ext uri="{FF2B5EF4-FFF2-40B4-BE49-F238E27FC236}">
              <a16:creationId xmlns:a16="http://schemas.microsoft.com/office/drawing/2014/main" id="{F7E487FB-6625-8BE9-857B-C4B8989CB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30956</xdr:colOff>
      <xdr:row>20</xdr:row>
      <xdr:rowOff>16669</xdr:rowOff>
    </xdr:from>
    <xdr:to>
      <xdr:col>7</xdr:col>
      <xdr:colOff>623888</xdr:colOff>
      <xdr:row>35</xdr:row>
      <xdr:rowOff>147638</xdr:rowOff>
    </xdr:to>
    <xdr:graphicFrame macro="">
      <xdr:nvGraphicFramePr>
        <xdr:cNvPr id="4" name="Chart 1">
          <a:extLst>
            <a:ext uri="{FF2B5EF4-FFF2-40B4-BE49-F238E27FC236}">
              <a16:creationId xmlns:a16="http://schemas.microsoft.com/office/drawing/2014/main" id="{252F17FC-3402-4027-F3B5-1DE9EF9EA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26193</xdr:colOff>
      <xdr:row>20</xdr:row>
      <xdr:rowOff>23812</xdr:rowOff>
    </xdr:from>
    <xdr:to>
      <xdr:col>15</xdr:col>
      <xdr:colOff>600075</xdr:colOff>
      <xdr:row>35</xdr:row>
      <xdr:rowOff>157162</xdr:rowOff>
    </xdr:to>
    <xdr:graphicFrame macro="">
      <xdr:nvGraphicFramePr>
        <xdr:cNvPr id="5" name="Chart 2">
          <a:extLst>
            <a:ext uri="{FF2B5EF4-FFF2-40B4-BE49-F238E27FC236}">
              <a16:creationId xmlns:a16="http://schemas.microsoft.com/office/drawing/2014/main" id="{9921BFC2-8113-71D8-1280-AAFEDE7FA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54768</xdr:colOff>
      <xdr:row>36</xdr:row>
      <xdr:rowOff>4761</xdr:rowOff>
    </xdr:from>
    <xdr:to>
      <xdr:col>15</xdr:col>
      <xdr:colOff>623887</xdr:colOff>
      <xdr:row>51</xdr:row>
      <xdr:rowOff>152399</xdr:rowOff>
    </xdr:to>
    <xdr:graphicFrame macro="">
      <xdr:nvGraphicFramePr>
        <xdr:cNvPr id="6" name="Chart 1">
          <a:extLst>
            <a:ext uri="{FF2B5EF4-FFF2-40B4-BE49-F238E27FC236}">
              <a16:creationId xmlns:a16="http://schemas.microsoft.com/office/drawing/2014/main" id="{3188AE8F-4A2D-CE5A-B807-73EDAA491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266699</xdr:colOff>
      <xdr:row>1</xdr:row>
      <xdr:rowOff>109537</xdr:rowOff>
    </xdr:from>
    <xdr:ext cx="5776913" cy="4961358"/>
    <xdr:sp macro="" textlink="">
      <xdr:nvSpPr>
        <xdr:cNvPr id="2" name="TextBox 1">
          <a:extLst>
            <a:ext uri="{FF2B5EF4-FFF2-40B4-BE49-F238E27FC236}">
              <a16:creationId xmlns:a16="http://schemas.microsoft.com/office/drawing/2014/main" id="{EE519CB5-3F62-F359-5A11-33255FD438C9}"/>
            </a:ext>
          </a:extLst>
        </xdr:cNvPr>
        <xdr:cNvSpPr txBox="1"/>
      </xdr:nvSpPr>
      <xdr:spPr>
        <a:xfrm>
          <a:off x="266699" y="290512"/>
          <a:ext cx="5776913" cy="4961358"/>
        </a:xfrm>
        <a:prstGeom prst="rect">
          <a:avLst/>
        </a:prstGeom>
        <a:solidFill>
          <a:schemeClr val="bg1"/>
        </a:solidFill>
        <a:ln>
          <a:solidFill>
            <a:schemeClr val="accent3"/>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Calibri" panose="020F0502020204030204" pitchFamily="34" charset="0"/>
              <a:ea typeface="Calibri" panose="020F0502020204030204" pitchFamily="34" charset="0"/>
              <a:cs typeface="Calibri" panose="020F0502020204030204" pitchFamily="34" charset="0"/>
            </a:rPr>
            <a:t>Key Insights</a:t>
          </a:r>
          <a:r>
            <a:rPr lang="en-US" sz="1200" b="1" baseline="0">
              <a:latin typeface="Calibri" panose="020F0502020204030204" pitchFamily="34" charset="0"/>
              <a:ea typeface="Calibri" panose="020F0502020204030204" pitchFamily="34" charset="0"/>
              <a:cs typeface="Calibri" panose="020F0502020204030204" pitchFamily="34" charset="0"/>
            </a:rPr>
            <a:t> and Recommendations:</a:t>
          </a:r>
        </a:p>
        <a:p>
          <a:endParaRPr lang="en-US" sz="1200" baseline="0">
            <a:latin typeface="Calibri" panose="020F0502020204030204" pitchFamily="34" charset="0"/>
            <a:ea typeface="Calibri" panose="020F0502020204030204" pitchFamily="34" charset="0"/>
            <a:cs typeface="Calibri" panose="020F0502020204030204" pitchFamily="34" charset="0"/>
          </a:endParaRPr>
        </a:p>
        <a:p>
          <a:r>
            <a:rPr lang="en-US" sz="1200">
              <a:latin typeface="Calibri" panose="020F0502020204030204" pitchFamily="34" charset="0"/>
              <a:ea typeface="Calibri" panose="020F0502020204030204" pitchFamily="34" charset="0"/>
              <a:cs typeface="Calibri" panose="020F0502020204030204" pitchFamily="34" charset="0"/>
            </a:rPr>
            <a:t>Sports is the highest revenue-generating category at $5,314.21, highlighting strong customer demand, with Sci-Fi close behind at $4,756.98. Lower-performing categories may benefit from pricing adjustments or targeted promotions to close the revenue gap.</a:t>
          </a:r>
        </a:p>
        <a:p>
          <a:endParaRPr lang="en-US" sz="1200">
            <a:latin typeface="Calibri" panose="020F0502020204030204" pitchFamily="34" charset="0"/>
            <a:ea typeface="Calibri" panose="020F0502020204030204" pitchFamily="34" charset="0"/>
            <a:cs typeface="Calibri" panose="020F0502020204030204" pitchFamily="34" charset="0"/>
          </a:endParaRPr>
        </a:p>
        <a:p>
          <a:r>
            <a:rPr lang="en-US" sz="1200">
              <a:latin typeface="Calibri" panose="020F0502020204030204" pitchFamily="34" charset="0"/>
              <a:ea typeface="Calibri" panose="020F0502020204030204" pitchFamily="34" charset="0"/>
              <a:cs typeface="Calibri" panose="020F0502020204030204" pitchFamily="34" charset="0"/>
            </a:rPr>
            <a:t>Both stores saw steady revenue growth from May to July 2005, with a slight dip in August before a sharp decline in February 2006. July 2005 was the peak month for both stores. The dramatic February drop suggests the dataset may be incomplete with gaps between months. A full fiscal year would be needed to fully understand seasonal patterns.</a:t>
          </a:r>
        </a:p>
        <a:p>
          <a:r>
            <a:rPr lang="en-US" sz="1200">
              <a:latin typeface="Calibri" panose="020F0502020204030204" pitchFamily="34" charset="0"/>
              <a:ea typeface="Calibri" panose="020F0502020204030204" pitchFamily="34" charset="0"/>
              <a:cs typeface="Calibri" panose="020F0502020204030204" pitchFamily="34" charset="0"/>
            </a:rPr>
            <a:t> </a:t>
          </a:r>
        </a:p>
        <a:p>
          <a:r>
            <a:rPr lang="en-US" sz="1200">
              <a:latin typeface="Calibri" panose="020F0502020204030204" pitchFamily="34" charset="0"/>
              <a:ea typeface="Calibri" panose="020F0502020204030204" pitchFamily="34" charset="0"/>
              <a:cs typeface="Calibri" panose="020F0502020204030204" pitchFamily="34" charset="0"/>
            </a:rPr>
            <a:t>Based on the available data, summer (particularly July) appears to be the strongest sales period, suggesting inventory should be prioritized during peak months and promotions deployed during slower periods.</a:t>
          </a:r>
        </a:p>
        <a:p>
          <a:endParaRPr lang="en-US" sz="1200">
            <a:latin typeface="Calibri" panose="020F0502020204030204" pitchFamily="34" charset="0"/>
            <a:ea typeface="Calibri" panose="020F0502020204030204" pitchFamily="34" charset="0"/>
            <a:cs typeface="Calibri" panose="020F0502020204030204" pitchFamily="34" charset="0"/>
          </a:endParaRPr>
        </a:p>
        <a:p>
          <a:r>
            <a:rPr lang="en-US" sz="1200">
              <a:latin typeface="Calibri" panose="020F0502020204030204" pitchFamily="34" charset="0"/>
              <a:ea typeface="Calibri" panose="020F0502020204030204" pitchFamily="34" charset="0"/>
              <a:cs typeface="Calibri" panose="020F0502020204030204" pitchFamily="34" charset="0"/>
            </a:rPr>
            <a:t>Jon Stephens leads in total revenue at $33,924, approximately 1.3% higher than Mike Hillyer's $33,482, despite processing 64 fewer rentals. This suggests Jon may be focusing on higher-priced categories. Mike's higher rental volume indicates strong customer engagement — reviewing and sharing his sales approach across both stores could help drive overall performance.</a:t>
          </a:r>
        </a:p>
        <a:p>
          <a:endParaRPr lang="en-US" sz="1200">
            <a:latin typeface="Calibri" panose="020F0502020204030204" pitchFamily="34" charset="0"/>
            <a:ea typeface="Calibri" panose="020F0502020204030204" pitchFamily="34" charset="0"/>
            <a:cs typeface="Calibri" panose="020F0502020204030204" pitchFamily="34" charset="0"/>
          </a:endParaRPr>
        </a:p>
        <a:p>
          <a:r>
            <a:rPr lang="en-US" sz="1200">
              <a:latin typeface="Calibri" panose="020F0502020204030204" pitchFamily="34" charset="0"/>
              <a:ea typeface="Calibri" panose="020F0502020204030204" pitchFamily="34" charset="0"/>
              <a:cs typeface="Calibri" panose="020F0502020204030204" pitchFamily="34" charset="0"/>
            </a:rPr>
            <a:t>Sports had the largest month-over-month revenue decline at</a:t>
          </a:r>
          <a:r>
            <a:rPr lang="en-US" sz="1200" baseline="0">
              <a:latin typeface="Calibri" panose="020F0502020204030204" pitchFamily="34" charset="0"/>
              <a:ea typeface="Calibri" panose="020F0502020204030204" pitchFamily="34" charset="0"/>
              <a:cs typeface="Calibri" panose="020F0502020204030204" pitchFamily="34" charset="0"/>
            </a:rPr>
            <a:t> </a:t>
          </a:r>
          <a:r>
            <a:rPr lang="en-US" sz="1200">
              <a:latin typeface="Calibri" panose="020F0502020204030204" pitchFamily="34" charset="0"/>
              <a:ea typeface="Calibri" panose="020F0502020204030204" pitchFamily="34" charset="0"/>
              <a:cs typeface="Calibri" panose="020F0502020204030204" pitchFamily="34" charset="0"/>
            </a:rPr>
            <a:t>-$1,921.83. This could reflect shifting customer preferences, demographic changes, or broader film trend cycles. Management should investigate whether this decline is category-specific or part of a wider trend before making inventory decisions.</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266699</xdr:colOff>
      <xdr:row>1</xdr:row>
      <xdr:rowOff>109537</xdr:rowOff>
    </xdr:from>
    <xdr:ext cx="5776913" cy="4413388"/>
    <xdr:sp macro="" textlink="">
      <xdr:nvSpPr>
        <xdr:cNvPr id="2" name="TextBox 1">
          <a:extLst>
            <a:ext uri="{FF2B5EF4-FFF2-40B4-BE49-F238E27FC236}">
              <a16:creationId xmlns:a16="http://schemas.microsoft.com/office/drawing/2014/main" id="{ED89A31C-5D0A-4301-B945-894A9BB2FCF8}"/>
            </a:ext>
          </a:extLst>
        </xdr:cNvPr>
        <xdr:cNvSpPr txBox="1"/>
      </xdr:nvSpPr>
      <xdr:spPr>
        <a:xfrm>
          <a:off x="266699" y="290512"/>
          <a:ext cx="5776913" cy="4413388"/>
        </a:xfrm>
        <a:prstGeom prst="rect">
          <a:avLst/>
        </a:prstGeom>
        <a:solidFill>
          <a:schemeClr val="bg1"/>
        </a:solidFill>
        <a:ln>
          <a:solidFill>
            <a:schemeClr val="accent3"/>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Calibri" panose="020F0502020204030204" pitchFamily="34" charset="0"/>
              <a:ea typeface="Calibri" panose="020F0502020204030204" pitchFamily="34" charset="0"/>
              <a:cs typeface="Calibri" panose="020F0502020204030204" pitchFamily="34" charset="0"/>
            </a:rPr>
            <a:t>Approach and Dashboard Selection</a:t>
          </a:r>
          <a:r>
            <a:rPr lang="en-US" sz="1200" b="1" baseline="0">
              <a:latin typeface="Calibri" panose="020F0502020204030204" pitchFamily="34" charset="0"/>
              <a:ea typeface="Calibri" panose="020F0502020204030204" pitchFamily="34" charset="0"/>
              <a:cs typeface="Calibri" panose="020F0502020204030204" pitchFamily="34" charset="0"/>
            </a:rPr>
            <a:t> Rationale:</a:t>
          </a:r>
        </a:p>
        <a:p>
          <a:endParaRPr lang="en-US" sz="1200" baseline="0">
            <a:latin typeface="Calibri" panose="020F0502020204030204" pitchFamily="34" charset="0"/>
            <a:ea typeface="Calibri" panose="020F0502020204030204" pitchFamily="34" charset="0"/>
            <a:cs typeface="Calibri" panose="020F0502020204030204" pitchFamily="34" charset="0"/>
          </a:endParaRPr>
        </a:p>
        <a:p>
          <a:r>
            <a:rPr lang="en-US" sz="1200">
              <a:effectLst/>
              <a:latin typeface="Calibri" panose="020F0502020204030204" pitchFamily="34" charset="0"/>
              <a:ea typeface="Calibri" panose="020F0502020204030204" pitchFamily="34" charset="0"/>
              <a:cs typeface="Calibri" panose="020F0502020204030204" pitchFamily="34" charset="0"/>
            </a:rPr>
            <a:t>The analysis was performed using SQL in MySQL Workbench across ten business questions, using the following techniques: </a:t>
          </a:r>
        </a:p>
        <a:p>
          <a:r>
            <a:rPr lang="en-US" sz="1200">
              <a:effectLst/>
              <a:latin typeface="Calibri" panose="020F0502020204030204" pitchFamily="34" charset="0"/>
              <a:ea typeface="Calibri" panose="020F0502020204030204" pitchFamily="34" charset="0"/>
              <a:cs typeface="Calibri" panose="020F0502020204030204" pitchFamily="34" charset="0"/>
            </a:rPr>
            <a:t> - JOIN operations across multiple tables to connect payments, staff, stores, inventory, and categories </a:t>
          </a:r>
        </a:p>
        <a:p>
          <a:r>
            <a:rPr lang="en-US" sz="1200">
              <a:effectLst/>
              <a:latin typeface="Calibri" panose="020F0502020204030204" pitchFamily="34" charset="0"/>
              <a:ea typeface="Calibri" panose="020F0502020204030204" pitchFamily="34" charset="0"/>
              <a:cs typeface="Calibri" panose="020F0502020204030204" pitchFamily="34" charset="0"/>
            </a:rPr>
            <a:t>- Aggregation functions including SUM, COUNT, and AVG</a:t>
          </a:r>
        </a:p>
        <a:p>
          <a:r>
            <a:rPr lang="en-US" sz="1200">
              <a:effectLst/>
              <a:latin typeface="Calibri" panose="020F0502020204030204" pitchFamily="34" charset="0"/>
              <a:ea typeface="Calibri" panose="020F0502020204030204" pitchFamily="34" charset="0"/>
              <a:cs typeface="Calibri" panose="020F0502020204030204" pitchFamily="34" charset="0"/>
            </a:rPr>
            <a:t>-</a:t>
          </a:r>
          <a:r>
            <a:rPr lang="en-US" sz="1200" baseline="0">
              <a:effectLst/>
              <a:latin typeface="Calibri" panose="020F0502020204030204" pitchFamily="34" charset="0"/>
              <a:ea typeface="Calibri" panose="020F0502020204030204" pitchFamily="34" charset="0"/>
              <a:cs typeface="Calibri" panose="020F0502020204030204" pitchFamily="34" charset="0"/>
            </a:rPr>
            <a:t> D</a:t>
          </a:r>
          <a:r>
            <a:rPr lang="en-US" sz="1200">
              <a:effectLst/>
              <a:latin typeface="Calibri" panose="020F0502020204030204" pitchFamily="34" charset="0"/>
              <a:ea typeface="Calibri" panose="020F0502020204030204" pitchFamily="34" charset="0"/>
              <a:cs typeface="Calibri" panose="020F0502020204030204" pitchFamily="34" charset="0"/>
            </a:rPr>
            <a:t>ate-based grouping using DATE_FORMAT for monthly trend analysis</a:t>
          </a:r>
        </a:p>
        <a:p>
          <a:r>
            <a:rPr lang="en-US" sz="1200">
              <a:effectLst/>
              <a:latin typeface="Calibri" panose="020F0502020204030204" pitchFamily="34" charset="0"/>
              <a:ea typeface="Calibri" panose="020F0502020204030204" pitchFamily="34" charset="0"/>
              <a:cs typeface="Calibri" panose="020F0502020204030204" pitchFamily="34" charset="0"/>
            </a:rPr>
            <a:t>-</a:t>
          </a:r>
          <a:r>
            <a:rPr lang="en-US" sz="1200" baseline="0">
              <a:effectLst/>
              <a:latin typeface="Calibri" panose="020F0502020204030204" pitchFamily="34" charset="0"/>
              <a:ea typeface="Calibri" panose="020F0502020204030204" pitchFamily="34" charset="0"/>
              <a:cs typeface="Calibri" panose="020F0502020204030204" pitchFamily="34" charset="0"/>
            </a:rPr>
            <a:t> W</a:t>
          </a:r>
          <a:r>
            <a:rPr lang="en-US" sz="1200">
              <a:effectLst/>
              <a:latin typeface="Calibri" panose="020F0502020204030204" pitchFamily="34" charset="0"/>
              <a:ea typeface="Calibri" panose="020F0502020204030204" pitchFamily="34" charset="0"/>
              <a:cs typeface="Calibri" panose="020F0502020204030204" pitchFamily="34" charset="0"/>
            </a:rPr>
            <a:t>indow functions including RANK and LAG for store rankings and month-over-month revenue comparisons</a:t>
          </a:r>
        </a:p>
        <a:p>
          <a:r>
            <a:rPr lang="en-US" sz="1200">
              <a:effectLst/>
              <a:latin typeface="Calibri" panose="020F0502020204030204" pitchFamily="34" charset="0"/>
              <a:ea typeface="Calibri" panose="020F0502020204030204" pitchFamily="34" charset="0"/>
              <a:cs typeface="Calibri" panose="020F0502020204030204" pitchFamily="34" charset="0"/>
            </a:rPr>
            <a:t>-</a:t>
          </a:r>
          <a:r>
            <a:rPr lang="en-US" sz="1200" baseline="0">
              <a:effectLst/>
              <a:latin typeface="Calibri" panose="020F0502020204030204" pitchFamily="34" charset="0"/>
              <a:ea typeface="Calibri" panose="020F0502020204030204" pitchFamily="34" charset="0"/>
              <a:cs typeface="Calibri" panose="020F0502020204030204" pitchFamily="34" charset="0"/>
            </a:rPr>
            <a:t> S</a:t>
          </a:r>
          <a:r>
            <a:rPr lang="en-US" sz="1200">
              <a:effectLst/>
              <a:latin typeface="Calibri" panose="020F0502020204030204" pitchFamily="34" charset="0"/>
              <a:ea typeface="Calibri" panose="020F0502020204030204" pitchFamily="34" charset="0"/>
              <a:cs typeface="Calibri" panose="020F0502020204030204" pitchFamily="34" charset="0"/>
            </a:rPr>
            <a:t>ubqueries for percentage contribution calculations </a:t>
          </a:r>
        </a:p>
        <a:p>
          <a:endParaRPr lang="en-US" sz="1200">
            <a:effectLst/>
            <a:latin typeface="Calibri" panose="020F0502020204030204" pitchFamily="34" charset="0"/>
            <a:ea typeface="Calibri" panose="020F0502020204030204" pitchFamily="34" charset="0"/>
            <a:cs typeface="Calibri" panose="020F0502020204030204" pitchFamily="34" charset="0"/>
          </a:endParaRPr>
        </a:p>
        <a:p>
          <a:r>
            <a:rPr lang="en-US" sz="1200">
              <a:effectLst/>
              <a:latin typeface="Calibri" panose="020F0502020204030204" pitchFamily="34" charset="0"/>
              <a:ea typeface="Calibri" panose="020F0502020204030204" pitchFamily="34" charset="0"/>
              <a:cs typeface="Calibri" panose="020F0502020204030204" pitchFamily="34" charset="0"/>
            </a:rPr>
            <a:t>Results were visualized in Microsoft Excel with a performance dashboard featuring KPI cards and five charts.</a:t>
          </a:r>
        </a:p>
        <a:p>
          <a:endParaRPr lang="en-US" sz="1200">
            <a:effectLst/>
            <a:latin typeface="Calibri" panose="020F0502020204030204" pitchFamily="34" charset="0"/>
            <a:ea typeface="Calibri" panose="020F0502020204030204" pitchFamily="34" charset="0"/>
            <a:cs typeface="Calibri" panose="020F0502020204030204" pitchFamily="34" charset="0"/>
          </a:endParaRPr>
        </a:p>
        <a:p>
          <a:r>
            <a:rPr lang="en-US" sz="1200">
              <a:effectLst/>
              <a:latin typeface="Calibri" panose="020F0502020204030204" pitchFamily="34" charset="0"/>
              <a:ea typeface="Calibri" panose="020F0502020204030204" pitchFamily="34" charset="0"/>
              <a:cs typeface="Calibri" panose="020F0502020204030204" pitchFamily="34" charset="0"/>
            </a:rPr>
            <a:t>Five queries were selected for the dashboard to</a:t>
          </a:r>
          <a:r>
            <a:rPr lang="en-US" sz="1200" baseline="0">
              <a:effectLst/>
              <a:latin typeface="Calibri" panose="020F0502020204030204" pitchFamily="34" charset="0"/>
              <a:ea typeface="Calibri" panose="020F0502020204030204" pitchFamily="34" charset="0"/>
              <a:cs typeface="Calibri" panose="020F0502020204030204" pitchFamily="34" charset="0"/>
            </a:rPr>
            <a:t> maximize brevity and b</a:t>
          </a:r>
          <a:r>
            <a:rPr lang="en-US" sz="1200">
              <a:effectLst/>
              <a:latin typeface="Calibri" panose="020F0502020204030204" pitchFamily="34" charset="0"/>
              <a:ea typeface="Calibri" panose="020F0502020204030204" pitchFamily="34" charset="0"/>
              <a:cs typeface="Calibri" panose="020F0502020204030204" pitchFamily="34" charset="0"/>
            </a:rPr>
            <a:t>ecause each answers a distinct business question. Total revenue by store establishes the performance baseline. Monthly revenue reveals when revenue peaked and declined, which is critical for planning. Store contribution percentage puts raw numbers in context. Top categories directly inform inventory decisions. Staff performance supports both recognition and future</a:t>
          </a:r>
          <a:r>
            <a:rPr lang="en-US" sz="1200" baseline="0">
              <a:effectLst/>
              <a:latin typeface="Calibri" panose="020F0502020204030204" pitchFamily="34" charset="0"/>
              <a:ea typeface="Calibri" panose="020F0502020204030204" pitchFamily="34" charset="0"/>
              <a:cs typeface="Calibri" panose="020F0502020204030204" pitchFamily="34" charset="0"/>
            </a:rPr>
            <a:t> </a:t>
          </a:r>
          <a:r>
            <a:rPr lang="en-US" sz="1200">
              <a:effectLst/>
              <a:latin typeface="Calibri" panose="020F0502020204030204" pitchFamily="34" charset="0"/>
              <a:ea typeface="Calibri" panose="020F0502020204030204" pitchFamily="34" charset="0"/>
              <a:cs typeface="Calibri" panose="020F0502020204030204" pitchFamily="34" charset="0"/>
            </a:rPr>
            <a:t>training decisions. Declining categories from Query 10 were incorporated into the recommendations section rather than the dashboard, as the findings are more actionable as written insight than a standalone chart.</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38.655387962965" createdVersion="8" refreshedVersion="8" minRefreshableVersion="3" recordCount="10" xr:uid="{E7900F37-B8BC-4EB9-8304-33A0CD345F89}">
  <cacheSource type="worksheet">
    <worksheetSource name="q2_monthly_store_revenue"/>
  </cacheSource>
  <cacheFields count="6">
    <cacheField name="store_id" numFmtId="0">
      <sharedItems containsSemiMixedTypes="0" containsString="0" containsNumber="1" containsInteger="1" minValue="1" maxValue="2" count="2">
        <n v="1"/>
        <n v="2"/>
      </sharedItems>
    </cacheField>
    <cacheField name="Revenue Month" numFmtId="14">
      <sharedItems containsSemiMixedTypes="0" containsNonDate="0" containsDate="1" containsString="0" minDate="2005-05-01T00:00:00" maxDate="2006-02-02T00:00:00" count="5">
        <d v="2005-05-01T00:00:00"/>
        <d v="2005-06-01T00:00:00"/>
        <d v="2005-07-01T00:00:00"/>
        <d v="2005-08-01T00:00:00"/>
        <d v="2006-02-01T00:00:00"/>
      </sharedItems>
      <fieldGroup par="5"/>
    </cacheField>
    <cacheField name="Monthly Revenue" numFmtId="164">
      <sharedItems containsSemiMixedTypes="0" containsString="0" containsNumber="1" minValue="234.09" maxValue="14370.35"/>
    </cacheField>
    <cacheField name="Months (Revenue Month)" numFmtId="0" databaseField="0">
      <fieldGroup base="1">
        <rangePr groupBy="months" startDate="2005-05-01T00:00:00" endDate="2006-02-02T00:00:00"/>
        <groupItems count="14">
          <s v="&lt;5/1/2005"/>
          <s v="Jan"/>
          <s v="Feb"/>
          <s v="Mar"/>
          <s v="Apr"/>
          <s v="May"/>
          <s v="Jun"/>
          <s v="Jul"/>
          <s v="Aug"/>
          <s v="Sep"/>
          <s v="Oct"/>
          <s v="Nov"/>
          <s v="Dec"/>
          <s v="&gt;2/2/2006"/>
        </groupItems>
      </fieldGroup>
    </cacheField>
    <cacheField name="Quarters (Revenue Month)" numFmtId="0" databaseField="0">
      <fieldGroup base="1">
        <rangePr groupBy="quarters" startDate="2005-05-01T00:00:00" endDate="2006-02-02T00:00:00"/>
        <groupItems count="6">
          <s v="&lt;5/1/2005"/>
          <s v="Qtr1"/>
          <s v="Qtr2"/>
          <s v="Qtr3"/>
          <s v="Qtr4"/>
          <s v="&gt;2/2/2006"/>
        </groupItems>
      </fieldGroup>
    </cacheField>
    <cacheField name="Years (Revenue Month)" numFmtId="0" databaseField="0">
      <fieldGroup base="1">
        <rangePr groupBy="years" startDate="2005-05-01T00:00:00" endDate="2006-02-02T00:00:00"/>
        <groupItems count="4">
          <s v="&lt;5/1/2005"/>
          <s v="2005"/>
          <s v="2006"/>
          <s v="&gt;2/2/200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2621.83"/>
  </r>
  <r>
    <x v="0"/>
    <x v="1"/>
    <n v="4774.37"/>
  </r>
  <r>
    <x v="0"/>
    <x v="2"/>
    <n v="13998.56"/>
  </r>
  <r>
    <x v="0"/>
    <x v="3"/>
    <n v="11853.65"/>
  </r>
  <r>
    <x v="0"/>
    <x v="4"/>
    <n v="234.09"/>
  </r>
  <r>
    <x v="1"/>
    <x v="0"/>
    <n v="2201.61"/>
  </r>
  <r>
    <x v="1"/>
    <x v="1"/>
    <n v="4855.5200000000004"/>
  </r>
  <r>
    <x v="1"/>
    <x v="2"/>
    <n v="14370.35"/>
  </r>
  <r>
    <x v="1"/>
    <x v="3"/>
    <n v="12216.49"/>
  </r>
  <r>
    <x v="1"/>
    <x v="4"/>
    <n v="280.08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10ED0-46F4-4AAF-A1AC-99A1492BECF1}"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Month" colHeaderCaption="">
  <location ref="A15:C21" firstHeaderRow="1" firstDataRow="2" firstDataCol="1"/>
  <pivotFields count="6">
    <pivotField axis="axisCol" showAll="0">
      <items count="3">
        <item n="Store 1" x="0"/>
        <item n="Store 2" x="1"/>
        <item t="default"/>
      </items>
    </pivotField>
    <pivotField axis="axisRow" numFmtId="14" showAll="0">
      <items count="6">
        <item x="0"/>
        <item x="1"/>
        <item x="2"/>
        <item x="3"/>
        <item x="4"/>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5">
    <i>
      <x/>
    </i>
    <i>
      <x v="1"/>
    </i>
    <i>
      <x v="2"/>
    </i>
    <i>
      <x v="3"/>
    </i>
    <i>
      <x v="4"/>
    </i>
  </rowItems>
  <colFields count="1">
    <field x="0"/>
  </colFields>
  <colItems count="2">
    <i>
      <x/>
    </i>
    <i>
      <x v="1"/>
    </i>
  </colItems>
  <dataFields count="1">
    <dataField name="Sum of Monthly Revenue" fld="2" baseField="0" baseItem="0" numFmtId="164"/>
  </dataFields>
  <chartFormats count="2">
    <chartFormat chart="16" format="2" series="1">
      <pivotArea type="data" outline="0" fieldPosition="0">
        <references count="2">
          <reference field="4294967294" count="1" selected="0">
            <x v="0"/>
          </reference>
          <reference field="0" count="1" selected="0">
            <x v="0"/>
          </reference>
        </references>
      </pivotArea>
    </chartFormat>
    <chartFormat chart="16" format="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C051C9C-E3F5-4355-A69D-60892827D4AB}" autoFormatId="16" applyNumberFormats="0" applyBorderFormats="0" applyFontFormats="0" applyPatternFormats="0" applyAlignmentFormats="0" applyWidthHeightFormats="0">
  <queryTableRefresh nextId="5">
    <queryTableFields count="4">
      <queryTableField id="1" name="store_id" tableColumnId="1"/>
      <queryTableField id="2" name="Total Revenue" tableColumnId="2"/>
      <queryTableField id="3" name="Earliest Payment" tableColumnId="3"/>
      <queryTableField id="4" name="Latest Paymen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868E801D-A980-48EF-B035-F3351F562DC7}" autoFormatId="16" applyNumberFormats="0" applyBorderFormats="0" applyFontFormats="0" applyPatternFormats="0" applyAlignmentFormats="0" applyWidthHeightFormats="0">
  <queryTableRefresh nextId="4">
    <queryTableFields count="3">
      <queryTableField id="1" name="store_id" tableColumnId="1"/>
      <queryTableField id="2" name="Revenue Month" tableColumnId="2"/>
      <queryTableField id="3" name="Monthly Revenu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66240CF3-607C-41CE-A826-8F240CA7E1DB}" autoFormatId="16" applyNumberFormats="0" applyBorderFormats="0" applyFontFormats="0" applyPatternFormats="0" applyAlignmentFormats="0" applyWidthHeightFormats="0">
  <queryTableRefresh nextId="4">
    <queryTableFields count="3">
      <queryTableField id="1" name="store_id" tableColumnId="1"/>
      <queryTableField id="2" name="Total Revenue" tableColumnId="2"/>
      <queryTableField id="3" name="Percentage Contribut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7" xr16:uid="{79729D61-E250-4A75-9441-84CA66692140}" autoFormatId="16" applyNumberFormats="0" applyBorderFormats="0" applyFontFormats="0" applyPatternFormats="0" applyAlignmentFormats="0" applyWidthHeightFormats="0">
  <queryTableRefresh nextId="3">
    <queryTableFields count="2">
      <queryTableField id="1" name="Category Name" tableColumnId="1"/>
      <queryTableField id="2" name="Category Revenu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4" xr16:uid="{72B5E83C-0FB9-485D-AFA8-D1EBF2890822}" autoFormatId="16" applyNumberFormats="0" applyBorderFormats="0" applyFontFormats="0" applyPatternFormats="0" applyAlignmentFormats="0" applyWidthHeightFormats="0">
  <queryTableRefresh nextId="6">
    <queryTableFields count="5">
      <queryTableField id="1" name="Category Name" tableColumnId="1"/>
      <queryTableField id="2" name="Current Month" tableColumnId="2"/>
      <queryTableField id="3" name="Current Revenue" tableColumnId="3"/>
      <queryTableField id="4" name="Previous Month Revenue" tableColumnId="4"/>
      <queryTableField id="5" name="Revenue Differenc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8" xr16:uid="{7220B14E-0E5B-4CCC-88B4-E04901ECDC07}" autoFormatId="16" applyNumberFormats="0" applyBorderFormats="0" applyFontFormats="0" applyPatternFormats="0" applyAlignmentFormats="0" applyWidthHeightFormats="0">
  <queryTableRefresh nextId="8" unboundColumnsRight="1">
    <queryTableFields count="7">
      <queryTableField id="1" name="Staff ID" tableColumnId="1"/>
      <queryTableField id="2" name="Staff Name" tableColumnId="2"/>
      <queryTableField id="3" name="Total Rentals" tableColumnId="3"/>
      <queryTableField id="4" name="Total Revenue" tableColumnId="4"/>
      <queryTableField id="5" name="Avg Revenue per Rental" tableColumnId="5"/>
      <queryTableField id="6" name="Revenue Rank"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1C17CB-F7F2-45A7-913A-33CC95006A3E}" name="q1_total_revenue__3" displayName="q1_total_revenue__3" ref="A2:D4" tableType="queryTable" totalsRowShown="0">
  <autoFilter ref="A2:D4" xr:uid="{4C1C17CB-F7F2-45A7-913A-33CC95006A3E}"/>
  <tableColumns count="4">
    <tableColumn id="1" xr3:uid="{1B100ADD-5D47-405D-8DA8-EA9C7C14CAFA}" uniqueName="1" name="store_id" queryTableFieldId="1"/>
    <tableColumn id="2" xr3:uid="{E64EDB2D-9D7A-4B40-B31D-87820DC94A4F}" uniqueName="2" name="Total Revenue" queryTableFieldId="2" dataDxfId="11"/>
    <tableColumn id="3" xr3:uid="{6B5F520D-BC9E-47F3-9400-D43BA573A818}" uniqueName="3" name="Earliest Payment" queryTableFieldId="3" dataDxfId="10"/>
    <tableColumn id="4" xr3:uid="{E5B90F0A-9B14-46A0-9D4D-3C724EC277D3}" uniqueName="4" name="Latest Payment" queryTableFieldId="4"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0441C-7387-4008-933A-FC28E94776A1}" name="q2_monthly_store_revenue" displayName="q2_monthly_store_revenue" ref="A2:C12" tableType="queryTable" totalsRowShown="0">
  <autoFilter ref="A2:C12" xr:uid="{5250441C-7387-4008-933A-FC28E94776A1}"/>
  <tableColumns count="3">
    <tableColumn id="1" xr3:uid="{A60ED6FB-C523-4FE1-95D0-603957F926DA}" uniqueName="1" name="store_id" queryTableFieldId="1"/>
    <tableColumn id="2" xr3:uid="{98C8B332-43A5-4CB9-AC82-3FB905B65740}" uniqueName="2" name="Revenue Month" queryTableFieldId="2" dataDxfId="15"/>
    <tableColumn id="3" xr3:uid="{32BE7D5F-E7BC-45EF-9948-A776CAB5CAFA}" uniqueName="3" name="Monthly Revenue" queryTableFieldId="3"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0C87DE-51F0-4117-A23A-99C96CDA74DC}" name="q3_store_percentage_contributions" displayName="q3_store_percentage_contributions" ref="A2:C4" tableType="queryTable" totalsRowShown="0">
  <autoFilter ref="A2:C4" xr:uid="{F60C87DE-51F0-4117-A23A-99C96CDA74DC}"/>
  <tableColumns count="3">
    <tableColumn id="1" xr3:uid="{C2014BDF-3E65-403D-8DB7-83FFB93802C4}" uniqueName="1" name="store_id" queryTableFieldId="1"/>
    <tableColumn id="2" xr3:uid="{3D89642E-EA06-4917-A7AD-9F2A398A178A}" uniqueName="2" name="Total Revenue" queryTableFieldId="2" dataDxfId="8"/>
    <tableColumn id="3" xr3:uid="{DC33F22C-E14A-4C16-A1FA-3C8D732D95F2}" uniqueName="3" name="Percentage Contribution"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0BB51B0-A5C1-4B3B-9AFA-3D120CF72498}" name="q6_top_performing_categories" displayName="q6_top_performing_categories" ref="A2:B18" tableType="queryTable" totalsRowShown="0">
  <autoFilter ref="A2:B18" xr:uid="{80BB51B0-A5C1-4B3B-9AFA-3D120CF72498}"/>
  <tableColumns count="2">
    <tableColumn id="1" xr3:uid="{BA0A0365-87BD-4C23-AEC5-29134BC010E5}" uniqueName="1" name="Category Name" queryTableFieldId="1" dataDxfId="13"/>
    <tableColumn id="2" xr3:uid="{60F0DDB2-9458-4BA6-B718-2D260F6B83DC}" uniqueName="2" name="Category Revenue" queryTableFieldId="2" dataDxf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3554F54-2DF5-4B58-A33F-E188F6D48AB2}" name="q10_Declining_Categories_Monthly" displayName="q10_Declining_Categories_Monthly" ref="A2:E82" tableType="queryTable" totalsRowShown="0">
  <autoFilter ref="A2:E82" xr:uid="{E3554F54-2DF5-4B58-A33F-E188F6D48AB2}"/>
  <tableColumns count="5">
    <tableColumn id="1" xr3:uid="{CB1C49E1-B419-49D3-AB55-E1F95ECFDA84}" uniqueName="1" name="Category Name" queryTableFieldId="1" dataDxfId="20"/>
    <tableColumn id="2" xr3:uid="{FB1646B3-A90F-42A6-9480-89008D753086}" uniqueName="2" name="Current Month" queryTableFieldId="2" dataDxfId="19"/>
    <tableColumn id="3" xr3:uid="{4745C6DF-5B85-4C63-A64A-0EF3153C432C}" uniqueName="3" name="Current Revenue" queryTableFieldId="3" dataDxfId="18"/>
    <tableColumn id="4" xr3:uid="{F739AE86-031B-4174-98F6-C551102CA132}" uniqueName="4" name="Previous Month Revenue" queryTableFieldId="4" dataDxfId="17"/>
    <tableColumn id="5" xr3:uid="{B7BAA230-0C52-4E73-AFBB-E53484ED37FF}" uniqueName="5" name="Revenue Difference" queryTableFieldId="5" dataDxf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356C47-0A79-41D8-995B-0B8428CCC837}" name="q9_staff_performance" displayName="q9_staff_performance" ref="A2:G4" tableType="queryTable" totalsRowShown="0" dataDxfId="0">
  <autoFilter ref="A2:G4" xr:uid="{4A356C47-0A79-41D8-995B-0B8428CCC837}"/>
  <tableColumns count="7">
    <tableColumn id="1" xr3:uid="{984C14AF-653C-46A1-8BD4-5837B1DD6DED}" uniqueName="1" name="Staff Name" queryTableFieldId="1" dataDxfId="7"/>
    <tableColumn id="2" xr3:uid="{2FE8A484-0749-4905-9353-C4050725FED3}" uniqueName="2" name="Staff ID" queryTableFieldId="2" dataDxfId="6"/>
    <tableColumn id="3" xr3:uid="{A85A7927-74B0-4BA4-8B4A-75E14C5E3752}" uniqueName="3" name="Total Rentals" queryTableFieldId="3" dataDxfId="5"/>
    <tableColumn id="4" xr3:uid="{5B7AD0A3-344C-4C0F-B62C-6A1C0AF6AC27}" uniqueName="4" name="Total Revenue" queryTableFieldId="4" dataDxfId="4"/>
    <tableColumn id="5" xr3:uid="{01F46629-B577-42C8-84EC-804240EA09D9}" uniqueName="5" name="Avg Revenue per Rental" queryTableFieldId="5" dataDxfId="3"/>
    <tableColumn id="6" xr3:uid="{81ECDA2E-8A4D-41EA-8424-8ADBA110C804}" uniqueName="6" name="Revenue Rank" queryTableFieldId="6" dataDxfId="2"/>
    <tableColumn id="7" xr3:uid="{BF56C723-F506-4556-B86B-1A49E8A990B5}" uniqueName="7" name="Combined Column" queryTableFieldId="7"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CC3A-5119-4AD9-A5D9-D29E9BEA8C0B}">
  <dimension ref="A1:P52"/>
  <sheetViews>
    <sheetView showGridLines="0" showRowColHeaders="0" tabSelected="1" topLeftCell="A4" workbookViewId="0">
      <selection activeCell="R23" sqref="R23"/>
    </sheetView>
  </sheetViews>
  <sheetFormatPr defaultRowHeight="14.25" x14ac:dyDescent="0.45"/>
  <cols>
    <col min="1" max="16384" width="9.06640625" style="12"/>
  </cols>
  <sheetData>
    <row r="1" spans="1:16" ht="25.9" thickBot="1" x14ac:dyDescent="0.8">
      <c r="A1" s="42" t="s">
        <v>183</v>
      </c>
      <c r="B1" s="40"/>
      <c r="C1" s="40"/>
      <c r="D1" s="40"/>
      <c r="E1" s="40"/>
      <c r="F1" s="40"/>
      <c r="G1" s="40"/>
      <c r="H1" s="40"/>
      <c r="I1" s="40"/>
      <c r="J1" s="40"/>
      <c r="K1" s="40"/>
      <c r="L1" s="40"/>
      <c r="M1" s="40"/>
      <c r="N1" s="40"/>
      <c r="O1" s="40"/>
      <c r="P1" s="41"/>
    </row>
    <row r="2" spans="1:16" ht="20" customHeight="1" x14ac:dyDescent="0.45">
      <c r="A2" s="16" t="s">
        <v>179</v>
      </c>
      <c r="B2" s="17"/>
      <c r="C2" s="17"/>
      <c r="D2" s="21"/>
      <c r="E2" s="23" t="s">
        <v>182</v>
      </c>
      <c r="F2" s="24"/>
      <c r="G2" s="24"/>
      <c r="H2" s="25"/>
      <c r="I2" s="31" t="s">
        <v>180</v>
      </c>
      <c r="J2" s="32"/>
      <c r="K2" s="32"/>
      <c r="L2" s="33"/>
      <c r="M2" s="31" t="s">
        <v>181</v>
      </c>
      <c r="N2" s="32"/>
      <c r="O2" s="32"/>
      <c r="P2" s="33"/>
    </row>
    <row r="3" spans="1:16" ht="20" customHeight="1" x14ac:dyDescent="0.45">
      <c r="A3" s="18"/>
      <c r="B3" s="13"/>
      <c r="C3" s="13"/>
      <c r="D3" s="14"/>
      <c r="E3" s="26"/>
      <c r="F3" s="15"/>
      <c r="G3" s="15"/>
      <c r="H3" s="27"/>
      <c r="I3" s="34"/>
      <c r="J3" s="35"/>
      <c r="K3" s="35"/>
      <c r="L3" s="36"/>
      <c r="M3" s="34"/>
      <c r="N3" s="35"/>
      <c r="O3" s="35"/>
      <c r="P3" s="36"/>
    </row>
    <row r="4" spans="1:16" ht="20" customHeight="1" thickBot="1" x14ac:dyDescent="0.5">
      <c r="A4" s="19"/>
      <c r="B4" s="20"/>
      <c r="C4" s="20"/>
      <c r="D4" s="22"/>
      <c r="E4" s="28"/>
      <c r="F4" s="29"/>
      <c r="G4" s="29"/>
      <c r="H4" s="30"/>
      <c r="I4" s="37"/>
      <c r="J4" s="38"/>
      <c r="K4" s="38"/>
      <c r="L4" s="39"/>
      <c r="M4" s="37"/>
      <c r="N4" s="38"/>
      <c r="O4" s="38"/>
      <c r="P4" s="39"/>
    </row>
    <row r="5" spans="1:16" x14ac:dyDescent="0.45">
      <c r="A5" s="11"/>
      <c r="B5" s="11"/>
      <c r="C5" s="11"/>
      <c r="D5" s="11"/>
      <c r="E5" s="11"/>
      <c r="F5" s="11"/>
      <c r="G5" s="11"/>
      <c r="H5" s="11"/>
      <c r="I5" s="11"/>
      <c r="J5" s="11"/>
      <c r="K5" s="11"/>
      <c r="L5" s="11"/>
      <c r="M5" s="11"/>
      <c r="N5" s="11"/>
      <c r="O5" s="11"/>
      <c r="P5" s="11"/>
    </row>
    <row r="6" spans="1:16" x14ac:dyDescent="0.45">
      <c r="A6" s="11"/>
      <c r="B6" s="11"/>
      <c r="C6" s="11"/>
      <c r="D6" s="11"/>
      <c r="E6" s="11"/>
      <c r="F6" s="11"/>
      <c r="G6" s="11"/>
      <c r="H6" s="11"/>
      <c r="I6" s="11"/>
      <c r="J6" s="11"/>
      <c r="K6" s="11"/>
      <c r="L6" s="11"/>
      <c r="M6" s="11"/>
      <c r="N6" s="11"/>
      <c r="O6" s="11"/>
      <c r="P6" s="11"/>
    </row>
    <row r="7" spans="1:16" x14ac:dyDescent="0.45">
      <c r="A7" s="11"/>
      <c r="B7" s="11"/>
      <c r="C7" s="11"/>
      <c r="D7" s="11"/>
      <c r="E7" s="11"/>
      <c r="F7" s="11"/>
      <c r="G7" s="11"/>
      <c r="H7" s="11"/>
      <c r="I7" s="11"/>
      <c r="J7" s="11"/>
      <c r="K7" s="11"/>
      <c r="L7" s="11"/>
      <c r="M7" s="11"/>
      <c r="N7" s="11"/>
      <c r="O7" s="11"/>
      <c r="P7" s="11"/>
    </row>
    <row r="8" spans="1:16" x14ac:dyDescent="0.45">
      <c r="A8" s="11"/>
      <c r="B8" s="11"/>
      <c r="C8" s="11"/>
      <c r="D8" s="11"/>
      <c r="E8" s="11"/>
      <c r="F8" s="11"/>
      <c r="G8" s="11"/>
      <c r="H8" s="11"/>
      <c r="I8" s="11"/>
      <c r="J8" s="11"/>
      <c r="K8" s="11"/>
      <c r="L8" s="11"/>
      <c r="M8" s="11"/>
      <c r="N8" s="11"/>
      <c r="O8" s="11"/>
      <c r="P8" s="11"/>
    </row>
    <row r="9" spans="1:16" x14ac:dyDescent="0.45">
      <c r="A9" s="11"/>
      <c r="B9" s="11"/>
      <c r="C9" s="11"/>
      <c r="D9" s="11"/>
      <c r="E9" s="11"/>
      <c r="F9" s="11"/>
      <c r="G9" s="11"/>
      <c r="H9" s="11"/>
      <c r="I9" s="11"/>
      <c r="J9" s="11"/>
      <c r="K9" s="11"/>
      <c r="L9" s="11"/>
      <c r="M9" s="11"/>
      <c r="N9" s="11"/>
      <c r="O9" s="11"/>
      <c r="P9" s="11"/>
    </row>
    <row r="10" spans="1:16" x14ac:dyDescent="0.45">
      <c r="A10" s="11"/>
      <c r="B10" s="11"/>
      <c r="C10" s="11"/>
      <c r="D10" s="11"/>
      <c r="E10" s="11"/>
      <c r="F10" s="11"/>
      <c r="G10" s="11"/>
      <c r="H10" s="11"/>
      <c r="I10" s="11"/>
      <c r="J10" s="11"/>
      <c r="K10" s="11"/>
      <c r="L10" s="11"/>
      <c r="M10" s="11"/>
      <c r="N10" s="11"/>
      <c r="O10" s="11"/>
      <c r="P10" s="11"/>
    </row>
    <row r="11" spans="1:16" x14ac:dyDescent="0.45">
      <c r="A11" s="11"/>
      <c r="B11" s="11"/>
      <c r="C11" s="11"/>
      <c r="D11" s="11"/>
      <c r="E11" s="11"/>
      <c r="F11" s="11"/>
      <c r="G11" s="11"/>
      <c r="H11" s="11"/>
      <c r="I11" s="11"/>
      <c r="J11" s="11"/>
      <c r="K11" s="11"/>
      <c r="L11" s="11"/>
      <c r="M11" s="11"/>
      <c r="N11" s="11"/>
      <c r="O11" s="11"/>
      <c r="P11" s="11"/>
    </row>
    <row r="12" spans="1:16" x14ac:dyDescent="0.45">
      <c r="A12" s="11"/>
      <c r="B12" s="11"/>
      <c r="C12" s="11"/>
      <c r="D12" s="11"/>
      <c r="E12" s="11"/>
      <c r="F12" s="11"/>
      <c r="G12" s="11"/>
      <c r="H12" s="11"/>
      <c r="I12" s="11"/>
      <c r="J12" s="11"/>
      <c r="K12" s="11"/>
      <c r="L12" s="11"/>
      <c r="M12" s="11"/>
      <c r="N12" s="11"/>
      <c r="O12" s="11"/>
      <c r="P12" s="11"/>
    </row>
    <row r="13" spans="1:16" x14ac:dyDescent="0.45">
      <c r="A13" s="11"/>
      <c r="B13" s="11"/>
      <c r="C13" s="11"/>
      <c r="D13" s="11"/>
      <c r="E13" s="11"/>
      <c r="F13" s="11"/>
      <c r="G13" s="11"/>
      <c r="H13" s="11"/>
      <c r="I13" s="11"/>
      <c r="J13" s="11"/>
      <c r="K13" s="11"/>
      <c r="L13" s="11"/>
      <c r="M13" s="11"/>
      <c r="N13" s="11"/>
      <c r="O13" s="11"/>
      <c r="P13" s="11"/>
    </row>
    <row r="14" spans="1:16" x14ac:dyDescent="0.45">
      <c r="A14" s="11"/>
      <c r="B14" s="11"/>
      <c r="C14" s="11"/>
      <c r="D14" s="11"/>
      <c r="E14" s="11"/>
      <c r="F14" s="11"/>
      <c r="G14" s="11"/>
      <c r="H14" s="11"/>
      <c r="I14" s="11"/>
      <c r="J14" s="11"/>
      <c r="K14" s="11"/>
      <c r="L14" s="11"/>
      <c r="M14" s="11"/>
      <c r="N14" s="11"/>
      <c r="O14" s="11"/>
      <c r="P14" s="11"/>
    </row>
    <row r="15" spans="1:16" x14ac:dyDescent="0.45">
      <c r="A15" s="11"/>
      <c r="B15" s="11"/>
      <c r="C15" s="11"/>
      <c r="D15" s="11"/>
      <c r="E15" s="11"/>
      <c r="F15" s="11"/>
      <c r="G15" s="11"/>
      <c r="H15" s="11"/>
      <c r="I15" s="11"/>
      <c r="J15" s="11"/>
      <c r="K15" s="11"/>
      <c r="L15" s="11"/>
      <c r="M15" s="11"/>
      <c r="N15" s="11"/>
      <c r="O15" s="11"/>
      <c r="P15" s="11"/>
    </row>
    <row r="16" spans="1:16" x14ac:dyDescent="0.45">
      <c r="A16" s="11"/>
      <c r="B16" s="11"/>
      <c r="C16" s="11"/>
      <c r="D16" s="11"/>
      <c r="E16" s="11"/>
      <c r="F16" s="11"/>
      <c r="G16" s="11"/>
      <c r="H16" s="11"/>
      <c r="I16" s="11"/>
      <c r="J16" s="11"/>
      <c r="K16" s="11"/>
      <c r="L16" s="11"/>
      <c r="M16" s="11"/>
      <c r="N16" s="11"/>
      <c r="O16" s="11"/>
      <c r="P16" s="11"/>
    </row>
    <row r="17" spans="1:16" x14ac:dyDescent="0.45">
      <c r="A17" s="11"/>
      <c r="B17" s="11"/>
      <c r="C17" s="11"/>
      <c r="D17" s="11"/>
      <c r="E17" s="11"/>
      <c r="F17" s="11"/>
      <c r="G17" s="11"/>
      <c r="H17" s="11"/>
      <c r="I17" s="11"/>
      <c r="J17" s="11"/>
      <c r="K17" s="11"/>
      <c r="L17" s="11"/>
      <c r="M17" s="11"/>
      <c r="N17" s="11"/>
      <c r="O17" s="11"/>
      <c r="P17" s="11"/>
    </row>
    <row r="18" spans="1:16" x14ac:dyDescent="0.45">
      <c r="A18" s="11"/>
      <c r="B18" s="11"/>
      <c r="C18" s="11"/>
      <c r="D18" s="11"/>
      <c r="E18" s="11"/>
      <c r="F18" s="11"/>
      <c r="G18" s="11"/>
      <c r="H18" s="11"/>
      <c r="I18" s="11"/>
      <c r="J18" s="11"/>
      <c r="K18" s="11"/>
      <c r="L18" s="11"/>
      <c r="M18" s="11"/>
      <c r="N18" s="11"/>
      <c r="O18" s="11"/>
      <c r="P18" s="11"/>
    </row>
    <row r="19" spans="1:16" x14ac:dyDescent="0.45">
      <c r="A19" s="11"/>
      <c r="B19" s="11"/>
      <c r="C19" s="11"/>
      <c r="D19" s="11"/>
      <c r="E19" s="11"/>
      <c r="F19" s="11"/>
      <c r="G19" s="11"/>
      <c r="H19" s="11"/>
      <c r="I19" s="11"/>
      <c r="J19" s="11"/>
      <c r="K19" s="11"/>
      <c r="L19" s="11"/>
      <c r="M19" s="11"/>
      <c r="N19" s="11"/>
      <c r="O19" s="11"/>
      <c r="P19" s="11"/>
    </row>
    <row r="20" spans="1:16" x14ac:dyDescent="0.45">
      <c r="A20" s="11"/>
      <c r="B20" s="11"/>
      <c r="C20" s="11"/>
      <c r="D20" s="11"/>
      <c r="E20" s="11"/>
      <c r="F20" s="11"/>
      <c r="G20" s="11"/>
      <c r="H20" s="11"/>
      <c r="I20" s="11"/>
      <c r="J20" s="11"/>
      <c r="K20" s="11"/>
      <c r="L20" s="11"/>
      <c r="M20" s="11"/>
      <c r="N20" s="11"/>
      <c r="O20" s="11"/>
      <c r="P20" s="11"/>
    </row>
    <row r="21" spans="1:16" x14ac:dyDescent="0.45">
      <c r="A21" s="11"/>
      <c r="B21" s="11"/>
      <c r="C21" s="11"/>
      <c r="D21" s="11"/>
      <c r="E21" s="11"/>
      <c r="F21" s="11"/>
      <c r="G21" s="11"/>
      <c r="H21" s="11"/>
      <c r="I21" s="11"/>
      <c r="J21" s="11"/>
      <c r="K21" s="11"/>
      <c r="L21" s="11"/>
      <c r="M21" s="11"/>
      <c r="N21" s="11"/>
      <c r="O21" s="11"/>
      <c r="P21" s="11"/>
    </row>
    <row r="22" spans="1:16" x14ac:dyDescent="0.45">
      <c r="A22" s="11"/>
      <c r="B22" s="11"/>
      <c r="C22" s="11"/>
      <c r="D22" s="11"/>
      <c r="E22" s="11"/>
      <c r="F22" s="11"/>
      <c r="G22" s="11"/>
      <c r="H22" s="11"/>
      <c r="I22" s="11"/>
      <c r="J22" s="11"/>
      <c r="K22" s="11"/>
      <c r="L22" s="11"/>
      <c r="M22" s="11"/>
      <c r="N22" s="11"/>
      <c r="O22" s="11"/>
      <c r="P22" s="11"/>
    </row>
    <row r="23" spans="1:16" x14ac:dyDescent="0.45">
      <c r="A23" s="11"/>
      <c r="B23" s="11"/>
      <c r="C23" s="11"/>
      <c r="D23" s="11"/>
      <c r="E23" s="11"/>
      <c r="F23" s="11"/>
      <c r="G23" s="11"/>
      <c r="H23" s="11"/>
      <c r="I23" s="11"/>
      <c r="J23" s="11"/>
      <c r="K23" s="11"/>
      <c r="L23" s="11"/>
      <c r="M23" s="11"/>
      <c r="N23" s="11"/>
      <c r="O23" s="11"/>
      <c r="P23" s="11"/>
    </row>
    <row r="24" spans="1:16" x14ac:dyDescent="0.45">
      <c r="A24" s="11"/>
      <c r="B24" s="11"/>
      <c r="C24" s="11"/>
      <c r="D24" s="11"/>
      <c r="E24" s="11"/>
      <c r="F24" s="11"/>
      <c r="G24" s="11"/>
      <c r="H24" s="11"/>
      <c r="I24" s="11"/>
      <c r="J24" s="11"/>
      <c r="K24" s="11"/>
      <c r="L24" s="11"/>
      <c r="M24" s="11"/>
      <c r="N24" s="11"/>
      <c r="O24" s="11"/>
      <c r="P24" s="11"/>
    </row>
    <row r="25" spans="1:16" x14ac:dyDescent="0.45">
      <c r="A25" s="11"/>
      <c r="B25" s="11"/>
      <c r="C25" s="11"/>
      <c r="D25" s="11"/>
      <c r="E25" s="11"/>
      <c r="F25" s="11"/>
      <c r="G25" s="11"/>
      <c r="H25" s="11"/>
      <c r="I25" s="11"/>
      <c r="J25" s="11"/>
      <c r="K25" s="11"/>
      <c r="L25" s="11"/>
      <c r="M25" s="11"/>
      <c r="N25" s="11"/>
      <c r="O25" s="11"/>
      <c r="P25" s="11"/>
    </row>
    <row r="26" spans="1:16" x14ac:dyDescent="0.45">
      <c r="A26" s="11"/>
      <c r="B26" s="11"/>
      <c r="C26" s="11"/>
      <c r="D26" s="11"/>
      <c r="E26" s="11"/>
      <c r="F26" s="11"/>
      <c r="G26" s="11"/>
      <c r="H26" s="11"/>
      <c r="I26" s="11"/>
      <c r="J26" s="11"/>
      <c r="K26" s="11"/>
      <c r="L26" s="11"/>
      <c r="M26" s="11"/>
      <c r="N26" s="11"/>
      <c r="O26" s="11"/>
      <c r="P26" s="11"/>
    </row>
    <row r="27" spans="1:16" x14ac:dyDescent="0.45">
      <c r="A27" s="11"/>
      <c r="B27" s="11"/>
      <c r="C27" s="11"/>
      <c r="D27" s="11"/>
      <c r="E27" s="11"/>
      <c r="F27" s="11"/>
      <c r="G27" s="11"/>
      <c r="H27" s="11"/>
      <c r="I27" s="11"/>
      <c r="J27" s="11"/>
      <c r="K27" s="11"/>
      <c r="L27" s="11"/>
      <c r="M27" s="11"/>
      <c r="N27" s="11"/>
      <c r="O27" s="11"/>
      <c r="P27" s="11"/>
    </row>
    <row r="28" spans="1:16" x14ac:dyDescent="0.45">
      <c r="A28" s="11"/>
      <c r="B28" s="11"/>
      <c r="C28" s="11"/>
      <c r="D28" s="11"/>
      <c r="E28" s="11"/>
      <c r="F28" s="11"/>
      <c r="G28" s="11"/>
      <c r="H28" s="11"/>
      <c r="I28" s="11"/>
      <c r="J28" s="11"/>
      <c r="K28" s="11"/>
      <c r="L28" s="11"/>
      <c r="M28" s="11"/>
      <c r="N28" s="11"/>
      <c r="O28" s="11"/>
      <c r="P28" s="11"/>
    </row>
    <row r="29" spans="1:16" x14ac:dyDescent="0.45">
      <c r="A29" s="11"/>
      <c r="B29" s="11"/>
      <c r="C29" s="11"/>
      <c r="D29" s="11"/>
      <c r="E29" s="11"/>
      <c r="F29" s="11"/>
      <c r="G29" s="11"/>
      <c r="H29" s="11"/>
      <c r="I29" s="11"/>
      <c r="J29" s="11"/>
      <c r="K29" s="11"/>
      <c r="L29" s="11"/>
      <c r="M29" s="11"/>
      <c r="N29" s="11"/>
      <c r="O29" s="11"/>
      <c r="P29" s="11"/>
    </row>
    <row r="30" spans="1:16" x14ac:dyDescent="0.45">
      <c r="A30" s="11"/>
      <c r="B30" s="11"/>
      <c r="C30" s="11"/>
      <c r="D30" s="11"/>
      <c r="E30" s="11"/>
      <c r="F30" s="11"/>
      <c r="G30" s="11"/>
      <c r="H30" s="11"/>
      <c r="I30" s="11"/>
      <c r="J30" s="11"/>
      <c r="K30" s="11"/>
      <c r="L30" s="11"/>
      <c r="M30" s="11"/>
      <c r="N30" s="11"/>
      <c r="O30" s="11"/>
      <c r="P30" s="11"/>
    </row>
    <row r="31" spans="1:16" x14ac:dyDescent="0.45">
      <c r="A31" s="11"/>
      <c r="B31" s="11"/>
      <c r="C31" s="11"/>
      <c r="D31" s="11"/>
      <c r="E31" s="11"/>
      <c r="F31" s="11"/>
      <c r="G31" s="11"/>
      <c r="H31" s="11"/>
      <c r="I31" s="11"/>
      <c r="J31" s="11"/>
      <c r="K31" s="11"/>
      <c r="L31" s="11"/>
      <c r="M31" s="11"/>
      <c r="N31" s="11"/>
      <c r="O31" s="11"/>
      <c r="P31" s="11"/>
    </row>
    <row r="32" spans="1:16" x14ac:dyDescent="0.45">
      <c r="A32" s="11"/>
      <c r="B32" s="11"/>
      <c r="C32" s="11"/>
      <c r="D32" s="11"/>
      <c r="E32" s="11"/>
      <c r="F32" s="11"/>
      <c r="G32" s="11"/>
      <c r="H32" s="11"/>
      <c r="I32" s="11"/>
      <c r="J32" s="11"/>
      <c r="K32" s="11"/>
      <c r="L32" s="11"/>
      <c r="M32" s="11"/>
      <c r="N32" s="11"/>
      <c r="O32" s="11"/>
      <c r="P32" s="11"/>
    </row>
    <row r="33" spans="1:16" x14ac:dyDescent="0.45">
      <c r="A33" s="11"/>
      <c r="B33" s="11"/>
      <c r="C33" s="11"/>
      <c r="D33" s="11"/>
      <c r="E33" s="11"/>
      <c r="F33" s="11"/>
      <c r="G33" s="11"/>
      <c r="H33" s="11"/>
      <c r="I33" s="11"/>
      <c r="J33" s="11"/>
      <c r="K33" s="11"/>
      <c r="L33" s="11"/>
      <c r="M33" s="11"/>
      <c r="N33" s="11"/>
      <c r="O33" s="11"/>
      <c r="P33" s="11"/>
    </row>
    <row r="34" spans="1:16" x14ac:dyDescent="0.45">
      <c r="A34" s="11"/>
      <c r="B34" s="11"/>
      <c r="C34" s="11"/>
      <c r="D34" s="11"/>
      <c r="E34" s="11"/>
      <c r="F34" s="11"/>
      <c r="G34" s="11"/>
      <c r="H34" s="11"/>
      <c r="I34" s="11"/>
      <c r="J34" s="11"/>
      <c r="K34" s="11"/>
      <c r="L34" s="11"/>
      <c r="M34" s="11"/>
      <c r="N34" s="11"/>
      <c r="O34" s="11"/>
      <c r="P34" s="11"/>
    </row>
    <row r="35" spans="1:16" x14ac:dyDescent="0.45">
      <c r="A35" s="11"/>
      <c r="B35" s="11"/>
      <c r="C35" s="11"/>
      <c r="D35" s="11"/>
      <c r="E35" s="11"/>
      <c r="F35" s="11"/>
      <c r="G35" s="11"/>
      <c r="H35" s="11"/>
      <c r="I35" s="11"/>
      <c r="J35" s="11"/>
      <c r="K35" s="11"/>
      <c r="L35" s="11"/>
      <c r="M35" s="11"/>
      <c r="N35" s="11"/>
      <c r="O35" s="11"/>
      <c r="P35" s="11"/>
    </row>
    <row r="36" spans="1:16" x14ac:dyDescent="0.45">
      <c r="A36" s="11"/>
      <c r="B36" s="11"/>
      <c r="C36" s="11"/>
      <c r="D36" s="11"/>
      <c r="E36" s="11"/>
      <c r="F36" s="11"/>
      <c r="G36" s="11"/>
      <c r="H36" s="11"/>
      <c r="I36" s="11"/>
      <c r="J36" s="11"/>
      <c r="K36" s="11"/>
      <c r="L36" s="11"/>
      <c r="M36" s="11"/>
      <c r="N36" s="11"/>
      <c r="O36" s="11"/>
      <c r="P36" s="11"/>
    </row>
    <row r="37" spans="1:16" x14ac:dyDescent="0.45">
      <c r="A37" s="11"/>
      <c r="B37" s="11"/>
      <c r="C37" s="11"/>
      <c r="D37" s="11"/>
      <c r="E37" s="11"/>
      <c r="F37" s="11"/>
      <c r="G37" s="11"/>
      <c r="H37" s="11"/>
      <c r="I37" s="11"/>
      <c r="J37" s="11"/>
      <c r="K37" s="11"/>
      <c r="L37" s="11"/>
      <c r="M37" s="11"/>
      <c r="N37" s="11"/>
      <c r="O37" s="11"/>
      <c r="P37" s="11"/>
    </row>
    <row r="38" spans="1:16" x14ac:dyDescent="0.45">
      <c r="A38" s="11"/>
      <c r="B38" s="11"/>
      <c r="C38" s="11"/>
      <c r="D38" s="11"/>
      <c r="E38" s="11"/>
      <c r="F38" s="11"/>
      <c r="G38" s="11"/>
      <c r="H38" s="11"/>
      <c r="I38" s="11"/>
      <c r="J38" s="11"/>
      <c r="K38" s="11"/>
      <c r="L38" s="11"/>
      <c r="M38" s="11"/>
      <c r="N38" s="11"/>
      <c r="O38" s="11"/>
      <c r="P38" s="11"/>
    </row>
    <row r="39" spans="1:16" x14ac:dyDescent="0.45">
      <c r="A39" s="11"/>
      <c r="B39" s="11"/>
      <c r="C39" s="11"/>
      <c r="D39" s="11"/>
      <c r="E39" s="11"/>
      <c r="F39" s="11"/>
      <c r="G39" s="11"/>
      <c r="H39" s="11"/>
      <c r="I39" s="11"/>
      <c r="J39" s="11"/>
      <c r="K39" s="11"/>
      <c r="L39" s="11"/>
      <c r="M39" s="11"/>
      <c r="N39" s="11"/>
      <c r="O39" s="11"/>
      <c r="P39" s="11"/>
    </row>
    <row r="40" spans="1:16" x14ac:dyDescent="0.45">
      <c r="A40" s="11"/>
      <c r="B40" s="11"/>
      <c r="C40" s="11"/>
      <c r="D40" s="11"/>
      <c r="E40" s="11"/>
      <c r="F40" s="11"/>
      <c r="G40" s="11"/>
      <c r="H40" s="11"/>
      <c r="I40" s="11"/>
      <c r="J40" s="11"/>
      <c r="K40" s="11"/>
      <c r="L40" s="11"/>
      <c r="M40" s="11"/>
      <c r="N40" s="11"/>
      <c r="O40" s="11"/>
      <c r="P40" s="11"/>
    </row>
    <row r="41" spans="1:16" x14ac:dyDescent="0.45">
      <c r="A41" s="11"/>
      <c r="B41" s="11"/>
      <c r="C41" s="11"/>
      <c r="D41" s="11"/>
      <c r="E41" s="11"/>
      <c r="F41" s="11"/>
      <c r="G41" s="11"/>
      <c r="H41" s="11"/>
      <c r="I41" s="11"/>
      <c r="J41" s="11"/>
      <c r="K41" s="11"/>
      <c r="L41" s="11"/>
      <c r="M41" s="11"/>
      <c r="N41" s="11"/>
      <c r="O41" s="11"/>
      <c r="P41" s="11"/>
    </row>
    <row r="42" spans="1:16" x14ac:dyDescent="0.45">
      <c r="A42" s="11"/>
      <c r="B42" s="11"/>
      <c r="C42" s="11"/>
      <c r="D42" s="11"/>
      <c r="E42" s="11"/>
      <c r="F42" s="11"/>
      <c r="G42" s="11"/>
      <c r="H42" s="11"/>
      <c r="I42" s="11"/>
      <c r="J42" s="11"/>
      <c r="K42" s="11"/>
      <c r="L42" s="11"/>
      <c r="M42" s="11"/>
      <c r="N42" s="11"/>
      <c r="O42" s="11"/>
      <c r="P42" s="11"/>
    </row>
    <row r="43" spans="1:16" x14ac:dyDescent="0.45">
      <c r="A43" s="11"/>
      <c r="B43" s="11"/>
      <c r="C43" s="11"/>
      <c r="D43" s="11"/>
      <c r="E43" s="11"/>
      <c r="F43" s="11"/>
      <c r="G43" s="11"/>
      <c r="H43" s="11"/>
      <c r="I43" s="11"/>
      <c r="J43" s="11"/>
      <c r="K43" s="11"/>
      <c r="L43" s="11"/>
      <c r="M43" s="11"/>
      <c r="N43" s="11"/>
      <c r="O43" s="11"/>
      <c r="P43" s="11"/>
    </row>
    <row r="44" spans="1:16" x14ac:dyDescent="0.45">
      <c r="A44" s="11"/>
      <c r="B44" s="11"/>
      <c r="C44" s="11"/>
      <c r="D44" s="11"/>
      <c r="E44" s="11"/>
      <c r="F44" s="11"/>
      <c r="G44" s="11"/>
      <c r="H44" s="11"/>
      <c r="I44" s="11"/>
      <c r="J44" s="11"/>
      <c r="K44" s="11"/>
      <c r="L44" s="11"/>
      <c r="M44" s="11"/>
      <c r="N44" s="11"/>
      <c r="O44" s="11"/>
      <c r="P44" s="11"/>
    </row>
    <row r="45" spans="1:16" x14ac:dyDescent="0.45">
      <c r="A45" s="11"/>
      <c r="B45" s="11"/>
      <c r="C45" s="11"/>
      <c r="D45" s="11"/>
      <c r="E45" s="11"/>
      <c r="F45" s="11"/>
      <c r="G45" s="11"/>
      <c r="H45" s="11"/>
      <c r="I45" s="11"/>
      <c r="J45" s="11"/>
      <c r="K45" s="11"/>
      <c r="L45" s="11"/>
      <c r="M45" s="11"/>
      <c r="N45" s="11"/>
      <c r="O45" s="11"/>
      <c r="P45" s="11"/>
    </row>
    <row r="46" spans="1:16" x14ac:dyDescent="0.45">
      <c r="A46" s="11"/>
      <c r="B46" s="11"/>
      <c r="C46" s="11"/>
      <c r="D46" s="11"/>
      <c r="E46" s="11"/>
      <c r="F46" s="11"/>
      <c r="G46" s="11"/>
      <c r="H46" s="11"/>
      <c r="I46" s="11"/>
      <c r="J46" s="11"/>
      <c r="K46" s="11"/>
      <c r="L46" s="11"/>
      <c r="M46" s="11"/>
      <c r="N46" s="11"/>
      <c r="O46" s="11"/>
      <c r="P46" s="11"/>
    </row>
    <row r="47" spans="1:16" x14ac:dyDescent="0.45">
      <c r="A47" s="11"/>
      <c r="B47" s="11"/>
      <c r="C47" s="11"/>
      <c r="D47" s="11"/>
      <c r="E47" s="11"/>
      <c r="F47" s="11"/>
      <c r="G47" s="11"/>
      <c r="H47" s="11"/>
      <c r="I47" s="11"/>
      <c r="J47" s="11"/>
      <c r="K47" s="11"/>
      <c r="L47" s="11"/>
      <c r="M47" s="11"/>
      <c r="N47" s="11"/>
      <c r="O47" s="11"/>
      <c r="P47" s="11"/>
    </row>
    <row r="48" spans="1:16" x14ac:dyDescent="0.45">
      <c r="A48" s="11"/>
      <c r="B48" s="11"/>
      <c r="C48" s="11"/>
      <c r="D48" s="11"/>
      <c r="E48" s="11"/>
      <c r="F48" s="11"/>
      <c r="G48" s="11"/>
      <c r="H48" s="11"/>
      <c r="I48" s="11"/>
      <c r="J48" s="11"/>
      <c r="K48" s="11"/>
      <c r="L48" s="11"/>
      <c r="M48" s="11"/>
      <c r="N48" s="11"/>
      <c r="O48" s="11"/>
      <c r="P48" s="11"/>
    </row>
    <row r="49" spans="1:16" x14ac:dyDescent="0.45">
      <c r="A49" s="11"/>
      <c r="B49" s="11"/>
      <c r="C49" s="11"/>
      <c r="D49" s="11"/>
      <c r="E49" s="11"/>
      <c r="F49" s="11"/>
      <c r="G49" s="11"/>
      <c r="H49" s="11"/>
      <c r="I49" s="11"/>
      <c r="J49" s="11"/>
      <c r="K49" s="11"/>
      <c r="L49" s="11"/>
      <c r="M49" s="11"/>
      <c r="N49" s="11"/>
      <c r="O49" s="11"/>
      <c r="P49" s="11"/>
    </row>
    <row r="50" spans="1:16" x14ac:dyDescent="0.45">
      <c r="A50" s="11"/>
      <c r="B50" s="11"/>
      <c r="C50" s="11"/>
      <c r="D50" s="11"/>
      <c r="E50" s="11"/>
      <c r="F50" s="11"/>
      <c r="G50" s="11"/>
      <c r="H50" s="11"/>
      <c r="I50" s="11"/>
      <c r="J50" s="11"/>
      <c r="K50" s="11"/>
      <c r="L50" s="11"/>
      <c r="M50" s="11"/>
      <c r="N50" s="11"/>
      <c r="O50" s="11"/>
      <c r="P50" s="11"/>
    </row>
    <row r="51" spans="1:16" x14ac:dyDescent="0.45">
      <c r="A51" s="11"/>
      <c r="B51" s="11"/>
      <c r="C51" s="11"/>
      <c r="D51" s="11"/>
      <c r="E51" s="11"/>
      <c r="F51" s="11"/>
      <c r="G51" s="11"/>
      <c r="H51" s="11"/>
      <c r="I51" s="11"/>
      <c r="J51" s="11"/>
      <c r="K51" s="11"/>
      <c r="L51" s="11"/>
      <c r="M51" s="11"/>
      <c r="N51" s="11"/>
      <c r="O51" s="11"/>
      <c r="P51" s="11"/>
    </row>
    <row r="52" spans="1:16" x14ac:dyDescent="0.45">
      <c r="A52" s="11"/>
      <c r="B52" s="11"/>
      <c r="C52" s="11"/>
      <c r="D52" s="11"/>
      <c r="E52" s="11"/>
      <c r="F52" s="11"/>
      <c r="G52" s="11"/>
      <c r="H52" s="11"/>
      <c r="I52" s="11"/>
      <c r="J52" s="11"/>
      <c r="K52" s="11"/>
      <c r="L52" s="11"/>
      <c r="M52" s="11"/>
      <c r="N52" s="11"/>
      <c r="O52" s="11"/>
      <c r="P52" s="11"/>
    </row>
  </sheetData>
  <mergeCells count="5">
    <mergeCell ref="A1:P1"/>
    <mergeCell ref="A2:D4"/>
    <mergeCell ref="E2:H4"/>
    <mergeCell ref="I2:L4"/>
    <mergeCell ref="M2:P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8012-CD13-446F-A58E-D8EA74275D11}">
  <dimension ref="K18"/>
  <sheetViews>
    <sheetView workbookViewId="0">
      <selection activeCell="K18" sqref="K18"/>
    </sheetView>
  </sheetViews>
  <sheetFormatPr defaultRowHeight="14.25" x14ac:dyDescent="0.45"/>
  <sheetData>
    <row r="18" spans="11:11" x14ac:dyDescent="0.45">
      <c r="K18" t="s">
        <v>184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0A583-AEB0-4855-B1FC-29B9349A8E20}">
  <dimension ref="A1"/>
  <sheetViews>
    <sheetView workbookViewId="0">
      <selection activeCell="F30" sqref="F30"/>
    </sheetView>
  </sheetViews>
  <sheetFormatPr defaultRowHeight="14.25"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F938-CEBA-4935-8550-60BA5E07A7D8}">
  <dimension ref="A1:D4"/>
  <sheetViews>
    <sheetView workbookViewId="0">
      <selection activeCell="A5" sqref="A5"/>
    </sheetView>
  </sheetViews>
  <sheetFormatPr defaultRowHeight="14.25" x14ac:dyDescent="0.45"/>
  <cols>
    <col min="1" max="1" width="9.33203125" bestFit="1" customWidth="1"/>
    <col min="2" max="2" width="14.19921875" bestFit="1" customWidth="1"/>
    <col min="3" max="3" width="16.3984375" bestFit="1" customWidth="1"/>
    <col min="4" max="4" width="15.19921875" bestFit="1" customWidth="1"/>
  </cols>
  <sheetData>
    <row r="1" spans="1:4" x14ac:dyDescent="0.45">
      <c r="A1" s="4" t="s">
        <v>4</v>
      </c>
      <c r="B1" s="5"/>
      <c r="C1" s="5"/>
      <c r="D1" s="5"/>
    </row>
    <row r="2" spans="1:4" x14ac:dyDescent="0.45">
      <c r="A2" t="s">
        <v>0</v>
      </c>
      <c r="B2" t="s">
        <v>1</v>
      </c>
      <c r="C2" t="s">
        <v>2</v>
      </c>
      <c r="D2" t="s">
        <v>3</v>
      </c>
    </row>
    <row r="3" spans="1:4" x14ac:dyDescent="0.45">
      <c r="A3" t="s">
        <v>171</v>
      </c>
      <c r="B3" s="2">
        <v>33924.06</v>
      </c>
      <c r="C3" s="1">
        <v>38496.954548611109</v>
      </c>
      <c r="D3" s="1">
        <v>38762.636145833334</v>
      </c>
    </row>
    <row r="4" spans="1:4" x14ac:dyDescent="0.45">
      <c r="A4" t="s">
        <v>172</v>
      </c>
      <c r="B4" s="2">
        <v>33482.5</v>
      </c>
      <c r="C4" s="1">
        <v>38496.953819444447</v>
      </c>
      <c r="D4" s="1">
        <v>38762.636145833334</v>
      </c>
    </row>
  </sheetData>
  <mergeCells count="1">
    <mergeCell ref="A1:D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C384-38B6-4CAE-A141-AAAE481CFF32}">
  <dimension ref="A1:C21"/>
  <sheetViews>
    <sheetView workbookViewId="0">
      <selection activeCell="J23" sqref="J23"/>
    </sheetView>
  </sheetViews>
  <sheetFormatPr defaultRowHeight="14.25" x14ac:dyDescent="0.45"/>
  <cols>
    <col min="1" max="1" width="20.46484375" bestFit="1" customWidth="1"/>
    <col min="2" max="3" width="9.796875" bestFit="1" customWidth="1"/>
    <col min="4" max="4" width="9.86328125" bestFit="1" customWidth="1"/>
  </cols>
  <sheetData>
    <row r="1" spans="1:3" x14ac:dyDescent="0.45">
      <c r="A1" s="4" t="s">
        <v>7</v>
      </c>
      <c r="B1" s="5"/>
      <c r="C1" s="5"/>
    </row>
    <row r="2" spans="1:3" x14ac:dyDescent="0.45">
      <c r="A2" t="s">
        <v>0</v>
      </c>
      <c r="B2" t="s">
        <v>5</v>
      </c>
      <c r="C2" t="s">
        <v>6</v>
      </c>
    </row>
    <row r="3" spans="1:3" x14ac:dyDescent="0.45">
      <c r="A3">
        <v>1</v>
      </c>
      <c r="B3" s="3">
        <v>38473</v>
      </c>
      <c r="C3" s="2">
        <v>2621.83</v>
      </c>
    </row>
    <row r="4" spans="1:3" x14ac:dyDescent="0.45">
      <c r="A4">
        <v>1</v>
      </c>
      <c r="B4" s="3">
        <v>38504</v>
      </c>
      <c r="C4" s="2">
        <v>4774.37</v>
      </c>
    </row>
    <row r="5" spans="1:3" x14ac:dyDescent="0.45">
      <c r="A5">
        <v>1</v>
      </c>
      <c r="B5" s="3">
        <v>38534</v>
      </c>
      <c r="C5" s="2">
        <v>13998.56</v>
      </c>
    </row>
    <row r="6" spans="1:3" x14ac:dyDescent="0.45">
      <c r="A6">
        <v>1</v>
      </c>
      <c r="B6" s="3">
        <v>38565</v>
      </c>
      <c r="C6" s="2">
        <v>11853.65</v>
      </c>
    </row>
    <row r="7" spans="1:3" x14ac:dyDescent="0.45">
      <c r="A7">
        <v>1</v>
      </c>
      <c r="B7" s="3">
        <v>38749</v>
      </c>
      <c r="C7" s="2">
        <v>234.09</v>
      </c>
    </row>
    <row r="8" spans="1:3" x14ac:dyDescent="0.45">
      <c r="A8">
        <v>2</v>
      </c>
      <c r="B8" s="3">
        <v>38473</v>
      </c>
      <c r="C8" s="2">
        <v>2201.61</v>
      </c>
    </row>
    <row r="9" spans="1:3" x14ac:dyDescent="0.45">
      <c r="A9">
        <v>2</v>
      </c>
      <c r="B9" s="3">
        <v>38504</v>
      </c>
      <c r="C9" s="2">
        <v>4855.5200000000004</v>
      </c>
    </row>
    <row r="10" spans="1:3" x14ac:dyDescent="0.45">
      <c r="A10">
        <v>2</v>
      </c>
      <c r="B10" s="3">
        <v>38534</v>
      </c>
      <c r="C10" s="2">
        <v>14370.35</v>
      </c>
    </row>
    <row r="11" spans="1:3" x14ac:dyDescent="0.45">
      <c r="A11">
        <v>2</v>
      </c>
      <c r="B11" s="3">
        <v>38565</v>
      </c>
      <c r="C11" s="2">
        <v>12216.49</v>
      </c>
    </row>
    <row r="12" spans="1:3" x14ac:dyDescent="0.45">
      <c r="A12">
        <v>2</v>
      </c>
      <c r="B12" s="3">
        <v>38749</v>
      </c>
      <c r="C12" s="2">
        <v>280.08999999999997</v>
      </c>
    </row>
    <row r="15" spans="1:3" x14ac:dyDescent="0.45">
      <c r="A15" s="6" t="s">
        <v>173</v>
      </c>
      <c r="B15" s="6" t="s">
        <v>175</v>
      </c>
    </row>
    <row r="16" spans="1:3" x14ac:dyDescent="0.45">
      <c r="A16" s="6" t="s">
        <v>174</v>
      </c>
      <c r="B16" t="s">
        <v>172</v>
      </c>
      <c r="C16" t="s">
        <v>171</v>
      </c>
    </row>
    <row r="17" spans="1:3" x14ac:dyDescent="0.45">
      <c r="A17" s="7">
        <v>38473</v>
      </c>
      <c r="B17" s="2">
        <v>2621.83</v>
      </c>
      <c r="C17" s="2">
        <v>2201.61</v>
      </c>
    </row>
    <row r="18" spans="1:3" x14ac:dyDescent="0.45">
      <c r="A18" s="7">
        <v>38504</v>
      </c>
      <c r="B18" s="2">
        <v>4774.37</v>
      </c>
      <c r="C18" s="2">
        <v>4855.5200000000004</v>
      </c>
    </row>
    <row r="19" spans="1:3" x14ac:dyDescent="0.45">
      <c r="A19" s="7">
        <v>38534</v>
      </c>
      <c r="B19" s="2">
        <v>13998.56</v>
      </c>
      <c r="C19" s="2">
        <v>14370.35</v>
      </c>
    </row>
    <row r="20" spans="1:3" x14ac:dyDescent="0.45">
      <c r="A20" s="7">
        <v>38565</v>
      </c>
      <c r="B20" s="2">
        <v>11853.65</v>
      </c>
      <c r="C20" s="2">
        <v>12216.49</v>
      </c>
    </row>
    <row r="21" spans="1:3" x14ac:dyDescent="0.45">
      <c r="A21" s="7">
        <v>38749</v>
      </c>
      <c r="B21" s="2">
        <v>234.09</v>
      </c>
      <c r="C21" s="2">
        <v>280.08999999999997</v>
      </c>
    </row>
  </sheetData>
  <mergeCells count="1">
    <mergeCell ref="A1:C1"/>
  </mergeCell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86D38-5501-4986-B7C4-92B582A231E7}">
  <dimension ref="A1:C4"/>
  <sheetViews>
    <sheetView workbookViewId="0">
      <selection activeCell="I15" sqref="I15"/>
    </sheetView>
  </sheetViews>
  <sheetFormatPr defaultRowHeight="14.25" x14ac:dyDescent="0.45"/>
  <cols>
    <col min="1" max="1" width="9.33203125" bestFit="1" customWidth="1"/>
    <col min="2" max="2" width="14.19921875" bestFit="1" customWidth="1"/>
    <col min="3" max="3" width="22.46484375" bestFit="1" customWidth="1"/>
  </cols>
  <sheetData>
    <row r="1" spans="1:3" x14ac:dyDescent="0.45">
      <c r="A1" s="4" t="s">
        <v>9</v>
      </c>
      <c r="B1" s="5"/>
      <c r="C1" s="5"/>
    </row>
    <row r="2" spans="1:3" x14ac:dyDescent="0.45">
      <c r="A2" t="s">
        <v>0</v>
      </c>
      <c r="B2" t="s">
        <v>1</v>
      </c>
      <c r="C2" t="s">
        <v>8</v>
      </c>
    </row>
    <row r="3" spans="1:3" x14ac:dyDescent="0.45">
      <c r="A3" t="s">
        <v>171</v>
      </c>
      <c r="B3" s="2">
        <v>33924.06</v>
      </c>
      <c r="C3">
        <v>50.33</v>
      </c>
    </row>
    <row r="4" spans="1:3" x14ac:dyDescent="0.45">
      <c r="A4" t="s">
        <v>172</v>
      </c>
      <c r="B4" s="2">
        <v>33482.5</v>
      </c>
      <c r="C4">
        <v>49.67</v>
      </c>
    </row>
  </sheetData>
  <mergeCells count="1">
    <mergeCell ref="A1:C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D830-E5B9-4734-ABCB-72F2CE7C3253}">
  <dimension ref="A1:B18"/>
  <sheetViews>
    <sheetView workbookViewId="0">
      <selection activeCell="L14" sqref="L14"/>
    </sheetView>
  </sheetViews>
  <sheetFormatPr defaultRowHeight="14.25" x14ac:dyDescent="0.45"/>
  <cols>
    <col min="1" max="1" width="15.19921875" bestFit="1" customWidth="1"/>
    <col min="2" max="2" width="17.46484375" bestFit="1" customWidth="1"/>
  </cols>
  <sheetData>
    <row r="1" spans="1:2" x14ac:dyDescent="0.45">
      <c r="A1" s="4" t="s">
        <v>28</v>
      </c>
      <c r="B1" s="4"/>
    </row>
    <row r="2" spans="1:2" x14ac:dyDescent="0.45">
      <c r="A2" t="s">
        <v>10</v>
      </c>
      <c r="B2" t="s">
        <v>11</v>
      </c>
    </row>
    <row r="3" spans="1:2" x14ac:dyDescent="0.45">
      <c r="A3" t="s">
        <v>12</v>
      </c>
      <c r="B3" s="2">
        <v>5314.21</v>
      </c>
    </row>
    <row r="4" spans="1:2" x14ac:dyDescent="0.45">
      <c r="A4" t="s">
        <v>13</v>
      </c>
      <c r="B4" s="2">
        <v>4756.9799999999996</v>
      </c>
    </row>
    <row r="5" spans="1:2" x14ac:dyDescent="0.45">
      <c r="A5" t="s">
        <v>14</v>
      </c>
      <c r="B5" s="2">
        <v>4656.3</v>
      </c>
    </row>
    <row r="6" spans="1:2" x14ac:dyDescent="0.45">
      <c r="A6" t="s">
        <v>15</v>
      </c>
      <c r="B6" s="2">
        <v>4587.3900000000003</v>
      </c>
    </row>
    <row r="7" spans="1:2" x14ac:dyDescent="0.45">
      <c r="A7" t="s">
        <v>16</v>
      </c>
      <c r="B7" s="2">
        <v>4383.58</v>
      </c>
    </row>
    <row r="8" spans="1:2" x14ac:dyDescent="0.45">
      <c r="A8" t="s">
        <v>17</v>
      </c>
      <c r="B8" s="2">
        <v>4375.8500000000004</v>
      </c>
    </row>
    <row r="9" spans="1:2" x14ac:dyDescent="0.45">
      <c r="A9" t="s">
        <v>18</v>
      </c>
      <c r="B9" s="2">
        <v>4351.62</v>
      </c>
    </row>
    <row r="10" spans="1:2" x14ac:dyDescent="0.45">
      <c r="A10" t="s">
        <v>19</v>
      </c>
      <c r="B10" s="2">
        <v>4281.33</v>
      </c>
    </row>
    <row r="11" spans="1:2" x14ac:dyDescent="0.45">
      <c r="A11" t="s">
        <v>20</v>
      </c>
      <c r="B11" s="2">
        <v>4270.67</v>
      </c>
    </row>
    <row r="12" spans="1:2" x14ac:dyDescent="0.45">
      <c r="A12" t="s">
        <v>21</v>
      </c>
      <c r="B12" s="2">
        <v>4226.07</v>
      </c>
    </row>
    <row r="13" spans="1:2" x14ac:dyDescent="0.45">
      <c r="A13" t="s">
        <v>22</v>
      </c>
      <c r="B13" s="2">
        <v>4217.5200000000004</v>
      </c>
    </row>
    <row r="14" spans="1:2" x14ac:dyDescent="0.45">
      <c r="A14" t="s">
        <v>23</v>
      </c>
      <c r="B14" s="2">
        <v>3722.54</v>
      </c>
    </row>
    <row r="15" spans="1:2" x14ac:dyDescent="0.45">
      <c r="A15" t="s">
        <v>24</v>
      </c>
      <c r="B15" s="2">
        <v>3655.55</v>
      </c>
    </row>
    <row r="16" spans="1:2" x14ac:dyDescent="0.45">
      <c r="A16" t="s">
        <v>25</v>
      </c>
      <c r="B16" s="2">
        <v>3639.59</v>
      </c>
    </row>
    <row r="17" spans="1:2" x14ac:dyDescent="0.45">
      <c r="A17" t="s">
        <v>26</v>
      </c>
      <c r="B17" s="2">
        <v>3549.64</v>
      </c>
    </row>
    <row r="18" spans="1:2" x14ac:dyDescent="0.45">
      <c r="A18" t="s">
        <v>27</v>
      </c>
      <c r="B18" s="2">
        <v>3417.72</v>
      </c>
    </row>
  </sheetData>
  <mergeCells count="1">
    <mergeCell ref="A1:B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2049-4E20-4A25-8A96-050D0BCE149E}">
  <dimension ref="A1:E82"/>
  <sheetViews>
    <sheetView topLeftCell="A3" workbookViewId="0">
      <selection activeCell="E53" sqref="E53"/>
    </sheetView>
  </sheetViews>
  <sheetFormatPr defaultRowHeight="14.25" x14ac:dyDescent="0.45"/>
  <cols>
    <col min="1" max="1" width="15.19921875" bestFit="1" customWidth="1"/>
    <col min="2" max="2" width="14.3984375" bestFit="1" customWidth="1"/>
    <col min="3" max="3" width="16.46484375" bestFit="1" customWidth="1"/>
    <col min="4" max="4" width="22.6640625" bestFit="1" customWidth="1"/>
    <col min="5" max="5" width="18.796875" bestFit="1" customWidth="1"/>
  </cols>
  <sheetData>
    <row r="1" spans="1:5" x14ac:dyDescent="0.45">
      <c r="A1" s="4" t="s">
        <v>170</v>
      </c>
      <c r="B1" s="4"/>
      <c r="C1" s="4"/>
      <c r="D1" s="4"/>
      <c r="E1" s="4"/>
    </row>
    <row r="2" spans="1:5" x14ac:dyDescent="0.45">
      <c r="A2" t="s">
        <v>10</v>
      </c>
      <c r="B2" t="s">
        <v>37</v>
      </c>
      <c r="C2" t="s">
        <v>38</v>
      </c>
      <c r="D2" t="s">
        <v>39</v>
      </c>
      <c r="E2" t="s">
        <v>40</v>
      </c>
    </row>
    <row r="3" spans="1:5" x14ac:dyDescent="0.45">
      <c r="A3" t="s">
        <v>17</v>
      </c>
      <c r="B3" s="3">
        <v>38473</v>
      </c>
      <c r="C3" s="2">
        <v>371.13</v>
      </c>
      <c r="D3" s="2" t="s">
        <v>41</v>
      </c>
      <c r="E3" t="s">
        <v>41</v>
      </c>
    </row>
    <row r="4" spans="1:5" x14ac:dyDescent="0.45">
      <c r="A4" t="s">
        <v>12</v>
      </c>
      <c r="B4" s="3">
        <v>38473</v>
      </c>
      <c r="C4" s="2">
        <v>333.24</v>
      </c>
      <c r="D4" s="2" t="s">
        <v>41</v>
      </c>
      <c r="E4" t="s">
        <v>41</v>
      </c>
    </row>
    <row r="5" spans="1:5" x14ac:dyDescent="0.45">
      <c r="A5" t="s">
        <v>26</v>
      </c>
      <c r="B5" s="3">
        <v>38473</v>
      </c>
      <c r="C5" s="2">
        <v>267.39999999999998</v>
      </c>
      <c r="D5" s="2" t="s">
        <v>41</v>
      </c>
      <c r="E5" t="s">
        <v>41</v>
      </c>
    </row>
    <row r="6" spans="1:5" x14ac:dyDescent="0.45">
      <c r="A6" t="s">
        <v>15</v>
      </c>
      <c r="B6" s="3">
        <v>38473</v>
      </c>
      <c r="C6" s="2">
        <v>370.15</v>
      </c>
      <c r="D6" s="2" t="s">
        <v>41</v>
      </c>
      <c r="E6" t="s">
        <v>41</v>
      </c>
    </row>
    <row r="7" spans="1:5" x14ac:dyDescent="0.45">
      <c r="A7" t="s">
        <v>20</v>
      </c>
      <c r="B7" s="3">
        <v>38473</v>
      </c>
      <c r="C7" s="2">
        <v>296.29000000000002</v>
      </c>
      <c r="D7" s="2" t="s">
        <v>41</v>
      </c>
      <c r="E7" t="s">
        <v>41</v>
      </c>
    </row>
    <row r="8" spans="1:5" x14ac:dyDescent="0.45">
      <c r="A8" t="s">
        <v>14</v>
      </c>
      <c r="B8" s="3">
        <v>38473</v>
      </c>
      <c r="C8" s="2">
        <v>289.26</v>
      </c>
      <c r="D8" s="2" t="s">
        <v>41</v>
      </c>
      <c r="E8" t="s">
        <v>41</v>
      </c>
    </row>
    <row r="9" spans="1:5" x14ac:dyDescent="0.45">
      <c r="A9" t="s">
        <v>16</v>
      </c>
      <c r="B9" s="3">
        <v>38473</v>
      </c>
      <c r="C9" s="2">
        <v>295.27999999999997</v>
      </c>
      <c r="D9" s="2" t="s">
        <v>41</v>
      </c>
      <c r="E9" t="s">
        <v>41</v>
      </c>
    </row>
    <row r="10" spans="1:5" x14ac:dyDescent="0.45">
      <c r="A10" t="s">
        <v>19</v>
      </c>
      <c r="B10" s="3">
        <v>38473</v>
      </c>
      <c r="C10" s="2">
        <v>293.31</v>
      </c>
      <c r="D10" s="2" t="s">
        <v>41</v>
      </c>
      <c r="E10" t="s">
        <v>41</v>
      </c>
    </row>
    <row r="11" spans="1:5" x14ac:dyDescent="0.45">
      <c r="A11" t="s">
        <v>23</v>
      </c>
      <c r="B11" s="3">
        <v>38473</v>
      </c>
      <c r="C11" s="2">
        <v>243.47</v>
      </c>
      <c r="D11" s="2" t="s">
        <v>41</v>
      </c>
      <c r="E11" t="s">
        <v>41</v>
      </c>
    </row>
    <row r="12" spans="1:5" x14ac:dyDescent="0.45">
      <c r="A12" t="s">
        <v>27</v>
      </c>
      <c r="B12" s="3">
        <v>38473</v>
      </c>
      <c r="C12" s="2">
        <v>268.39</v>
      </c>
      <c r="D12" s="2" t="s">
        <v>41</v>
      </c>
      <c r="E12" t="s">
        <v>41</v>
      </c>
    </row>
    <row r="13" spans="1:5" x14ac:dyDescent="0.45">
      <c r="A13" t="s">
        <v>24</v>
      </c>
      <c r="B13" s="3">
        <v>38473</v>
      </c>
      <c r="C13" s="2">
        <v>288.29000000000002</v>
      </c>
      <c r="D13" s="2" t="s">
        <v>41</v>
      </c>
      <c r="E13" t="s">
        <v>41</v>
      </c>
    </row>
    <row r="14" spans="1:5" x14ac:dyDescent="0.45">
      <c r="A14" t="s">
        <v>21</v>
      </c>
      <c r="B14" s="3">
        <v>38473</v>
      </c>
      <c r="C14" s="2">
        <v>304.14999999999998</v>
      </c>
      <c r="D14" s="2" t="s">
        <v>41</v>
      </c>
      <c r="E14" t="s">
        <v>41</v>
      </c>
    </row>
    <row r="15" spans="1:5" x14ac:dyDescent="0.45">
      <c r="A15" t="s">
        <v>22</v>
      </c>
      <c r="B15" s="3">
        <v>38473</v>
      </c>
      <c r="C15" s="2">
        <v>353.14</v>
      </c>
      <c r="D15" s="2" t="s">
        <v>41</v>
      </c>
      <c r="E15" t="s">
        <v>41</v>
      </c>
    </row>
    <row r="16" spans="1:5" x14ac:dyDescent="0.45">
      <c r="A16" t="s">
        <v>18</v>
      </c>
      <c r="B16" s="3">
        <v>38473</v>
      </c>
      <c r="C16" s="2">
        <v>302.39999999999998</v>
      </c>
      <c r="D16" s="2" t="s">
        <v>41</v>
      </c>
      <c r="E16" t="s">
        <v>41</v>
      </c>
    </row>
    <row r="17" spans="1:5" x14ac:dyDescent="0.45">
      <c r="A17" t="s">
        <v>13</v>
      </c>
      <c r="B17" s="3">
        <v>38473</v>
      </c>
      <c r="C17" s="2">
        <v>320.16000000000003</v>
      </c>
      <c r="D17" s="2" t="s">
        <v>41</v>
      </c>
      <c r="E17" t="s">
        <v>41</v>
      </c>
    </row>
    <row r="18" spans="1:5" x14ac:dyDescent="0.45">
      <c r="A18" t="s">
        <v>25</v>
      </c>
      <c r="B18" s="3">
        <v>38473</v>
      </c>
      <c r="C18" s="2">
        <v>227.38</v>
      </c>
      <c r="D18" s="2" t="s">
        <v>41</v>
      </c>
      <c r="E18" t="s">
        <v>41</v>
      </c>
    </row>
    <row r="19" spans="1:5" x14ac:dyDescent="0.45">
      <c r="A19" t="s">
        <v>12</v>
      </c>
      <c r="B19" s="3">
        <v>38749</v>
      </c>
      <c r="C19" s="2">
        <v>40.85</v>
      </c>
      <c r="D19" s="2" t="s">
        <v>42</v>
      </c>
      <c r="E19" t="s">
        <v>43</v>
      </c>
    </row>
    <row r="20" spans="1:5" x14ac:dyDescent="0.45">
      <c r="A20" t="s">
        <v>13</v>
      </c>
      <c r="B20" s="3">
        <v>38749</v>
      </c>
      <c r="C20" s="2">
        <v>30.91</v>
      </c>
      <c r="D20" s="2" t="s">
        <v>44</v>
      </c>
      <c r="E20" t="s">
        <v>45</v>
      </c>
    </row>
    <row r="21" spans="1:5" x14ac:dyDescent="0.45">
      <c r="A21" t="s">
        <v>18</v>
      </c>
      <c r="B21" s="3">
        <v>38749</v>
      </c>
      <c r="C21" s="2">
        <v>30.89</v>
      </c>
      <c r="D21" s="2" t="s">
        <v>46</v>
      </c>
      <c r="E21" t="s">
        <v>47</v>
      </c>
    </row>
    <row r="22" spans="1:5" x14ac:dyDescent="0.45">
      <c r="A22" t="s">
        <v>14</v>
      </c>
      <c r="B22" s="3">
        <v>38749</v>
      </c>
      <c r="C22" s="2">
        <v>66.75</v>
      </c>
      <c r="D22" s="2" t="s">
        <v>48</v>
      </c>
      <c r="E22" t="s">
        <v>49</v>
      </c>
    </row>
    <row r="23" spans="1:5" x14ac:dyDescent="0.45">
      <c r="A23" t="s">
        <v>20</v>
      </c>
      <c r="B23" s="3">
        <v>38749</v>
      </c>
      <c r="C23" s="2">
        <v>24.89</v>
      </c>
      <c r="D23" s="2" t="s">
        <v>50</v>
      </c>
      <c r="E23" t="s">
        <v>51</v>
      </c>
    </row>
    <row r="24" spans="1:5" x14ac:dyDescent="0.45">
      <c r="A24" t="s">
        <v>16</v>
      </c>
      <c r="B24" s="3">
        <v>38749</v>
      </c>
      <c r="C24" s="2">
        <v>25.9</v>
      </c>
      <c r="D24" s="2" t="s">
        <v>52</v>
      </c>
      <c r="E24" t="s">
        <v>53</v>
      </c>
    </row>
    <row r="25" spans="1:5" x14ac:dyDescent="0.45">
      <c r="A25" t="s">
        <v>22</v>
      </c>
      <c r="B25" s="3">
        <v>38749</v>
      </c>
      <c r="C25" s="2">
        <v>7.96</v>
      </c>
      <c r="D25" s="2" t="s">
        <v>54</v>
      </c>
      <c r="E25" t="s">
        <v>55</v>
      </c>
    </row>
    <row r="26" spans="1:5" x14ac:dyDescent="0.45">
      <c r="A26" t="s">
        <v>15</v>
      </c>
      <c r="B26" s="3">
        <v>38749</v>
      </c>
      <c r="C26" s="2">
        <v>29.92</v>
      </c>
      <c r="D26" s="2" t="s">
        <v>56</v>
      </c>
      <c r="E26" t="s">
        <v>57</v>
      </c>
    </row>
    <row r="27" spans="1:5" x14ac:dyDescent="0.45">
      <c r="A27" t="s">
        <v>19</v>
      </c>
      <c r="B27" s="3">
        <v>38749</v>
      </c>
      <c r="C27" s="2">
        <v>39.880000000000003</v>
      </c>
      <c r="D27" s="2" t="s">
        <v>58</v>
      </c>
      <c r="E27" t="s">
        <v>59</v>
      </c>
    </row>
    <row r="28" spans="1:5" x14ac:dyDescent="0.45">
      <c r="A28" t="s">
        <v>21</v>
      </c>
      <c r="B28" s="3">
        <v>38749</v>
      </c>
      <c r="C28" s="2">
        <v>29.9</v>
      </c>
      <c r="D28" s="2" t="s">
        <v>60</v>
      </c>
      <c r="E28" t="s">
        <v>61</v>
      </c>
    </row>
    <row r="29" spans="1:5" x14ac:dyDescent="0.45">
      <c r="A29" t="s">
        <v>17</v>
      </c>
      <c r="B29" s="3">
        <v>38749</v>
      </c>
      <c r="C29" s="2">
        <v>55.8</v>
      </c>
      <c r="D29" s="2" t="s">
        <v>62</v>
      </c>
      <c r="E29" t="s">
        <v>63</v>
      </c>
    </row>
    <row r="30" spans="1:5" x14ac:dyDescent="0.45">
      <c r="A30" t="s">
        <v>25</v>
      </c>
      <c r="B30" s="3">
        <v>38749</v>
      </c>
      <c r="C30" s="2">
        <v>24.89</v>
      </c>
      <c r="D30" s="2" t="s">
        <v>64</v>
      </c>
      <c r="E30" t="s">
        <v>65</v>
      </c>
    </row>
    <row r="31" spans="1:5" x14ac:dyDescent="0.45">
      <c r="A31" t="s">
        <v>23</v>
      </c>
      <c r="B31" s="3">
        <v>38749</v>
      </c>
      <c r="C31" s="2">
        <v>33.880000000000003</v>
      </c>
      <c r="D31" s="2" t="s">
        <v>66</v>
      </c>
      <c r="E31" t="s">
        <v>67</v>
      </c>
    </row>
    <row r="32" spans="1:5" x14ac:dyDescent="0.45">
      <c r="A32" t="s">
        <v>24</v>
      </c>
      <c r="B32" s="3">
        <v>38749</v>
      </c>
      <c r="C32" s="2">
        <v>15.94</v>
      </c>
      <c r="D32" s="2" t="s">
        <v>68</v>
      </c>
      <c r="E32" t="s">
        <v>69</v>
      </c>
    </row>
    <row r="33" spans="1:5" x14ac:dyDescent="0.45">
      <c r="A33" t="s">
        <v>26</v>
      </c>
      <c r="B33" s="3">
        <v>38749</v>
      </c>
      <c r="C33" s="2">
        <v>30.91</v>
      </c>
      <c r="D33" s="2" t="s">
        <v>70</v>
      </c>
      <c r="E33" t="s">
        <v>71</v>
      </c>
    </row>
    <row r="34" spans="1:5" x14ac:dyDescent="0.45">
      <c r="A34" t="s">
        <v>27</v>
      </c>
      <c r="B34" s="3">
        <v>38749</v>
      </c>
      <c r="C34" s="2">
        <v>24.91</v>
      </c>
      <c r="D34" s="2" t="s">
        <v>72</v>
      </c>
      <c r="E34" t="s">
        <v>73</v>
      </c>
    </row>
    <row r="35" spans="1:5" x14ac:dyDescent="0.45">
      <c r="A35" t="s">
        <v>15</v>
      </c>
      <c r="B35" s="3">
        <v>38565</v>
      </c>
      <c r="C35" s="2">
        <v>1526.47</v>
      </c>
      <c r="D35" s="2" t="s">
        <v>74</v>
      </c>
      <c r="E35" t="s">
        <v>75</v>
      </c>
    </row>
    <row r="36" spans="1:5" x14ac:dyDescent="0.45">
      <c r="A36" t="s">
        <v>21</v>
      </c>
      <c r="B36" s="3">
        <v>38565</v>
      </c>
      <c r="C36" s="2">
        <v>1474.16</v>
      </c>
      <c r="D36" s="2" t="s">
        <v>76</v>
      </c>
      <c r="E36" t="s">
        <v>77</v>
      </c>
    </row>
    <row r="37" spans="1:5" x14ac:dyDescent="0.45">
      <c r="A37" t="s">
        <v>17</v>
      </c>
      <c r="B37" s="3">
        <v>38565</v>
      </c>
      <c r="C37" s="2">
        <v>1463.16</v>
      </c>
      <c r="D37" s="2" t="s">
        <v>78</v>
      </c>
      <c r="E37" t="s">
        <v>79</v>
      </c>
    </row>
    <row r="38" spans="1:5" x14ac:dyDescent="0.45">
      <c r="A38" t="s">
        <v>12</v>
      </c>
      <c r="B38" s="3">
        <v>38565</v>
      </c>
      <c r="C38" s="2">
        <v>1962.68</v>
      </c>
      <c r="D38" s="2" t="s">
        <v>80</v>
      </c>
      <c r="E38" t="s">
        <v>81</v>
      </c>
    </row>
    <row r="39" spans="1:5" x14ac:dyDescent="0.45">
      <c r="A39" t="s">
        <v>13</v>
      </c>
      <c r="B39" s="3">
        <v>38565</v>
      </c>
      <c r="C39" s="2">
        <v>1707.15</v>
      </c>
      <c r="D39" s="2" t="s">
        <v>82</v>
      </c>
      <c r="E39" t="s">
        <v>83</v>
      </c>
    </row>
    <row r="40" spans="1:5" x14ac:dyDescent="0.45">
      <c r="A40" t="s">
        <v>19</v>
      </c>
      <c r="B40" s="3">
        <v>38565</v>
      </c>
      <c r="C40" s="2">
        <v>1508.48</v>
      </c>
      <c r="D40" s="2" t="s">
        <v>84</v>
      </c>
      <c r="E40" t="s">
        <v>85</v>
      </c>
    </row>
    <row r="41" spans="1:5" x14ac:dyDescent="0.45">
      <c r="A41" t="s">
        <v>14</v>
      </c>
      <c r="B41" s="3">
        <v>38565</v>
      </c>
      <c r="C41" s="2">
        <v>1654.92</v>
      </c>
      <c r="D41" s="2" t="s">
        <v>86</v>
      </c>
      <c r="E41" t="s">
        <v>87</v>
      </c>
    </row>
    <row r="42" spans="1:5" x14ac:dyDescent="0.45">
      <c r="A42" t="s">
        <v>27</v>
      </c>
      <c r="B42" s="3">
        <v>38565</v>
      </c>
      <c r="C42" s="2">
        <v>1163.23</v>
      </c>
      <c r="D42" s="2" t="s">
        <v>88</v>
      </c>
      <c r="E42" t="s">
        <v>89</v>
      </c>
    </row>
    <row r="43" spans="1:5" x14ac:dyDescent="0.45">
      <c r="A43" t="s">
        <v>23</v>
      </c>
      <c r="B43" s="3">
        <v>38565</v>
      </c>
      <c r="C43" s="2">
        <v>1342.01</v>
      </c>
      <c r="D43" s="2" t="s">
        <v>90</v>
      </c>
      <c r="E43" t="s">
        <v>91</v>
      </c>
    </row>
    <row r="44" spans="1:5" x14ac:dyDescent="0.45">
      <c r="A44" t="s">
        <v>16</v>
      </c>
      <c r="B44" s="3">
        <v>38565</v>
      </c>
      <c r="C44" s="2">
        <v>1593.58</v>
      </c>
      <c r="D44" s="2" t="s">
        <v>92</v>
      </c>
      <c r="E44" t="s">
        <v>93</v>
      </c>
    </row>
    <row r="45" spans="1:5" x14ac:dyDescent="0.45">
      <c r="A45" t="s">
        <v>26</v>
      </c>
      <c r="B45" s="3">
        <v>38565</v>
      </c>
      <c r="C45" s="2">
        <v>1244.02</v>
      </c>
      <c r="D45" s="2" t="s">
        <v>94</v>
      </c>
      <c r="E45" t="s">
        <v>95</v>
      </c>
    </row>
    <row r="46" spans="1:5" x14ac:dyDescent="0.45">
      <c r="A46" t="s">
        <v>24</v>
      </c>
      <c r="B46" s="3">
        <v>38565</v>
      </c>
      <c r="C46" s="2">
        <v>1315.68</v>
      </c>
      <c r="D46" s="2" t="s">
        <v>96</v>
      </c>
      <c r="E46" t="s">
        <v>97</v>
      </c>
    </row>
    <row r="47" spans="1:5" x14ac:dyDescent="0.45">
      <c r="A47" t="s">
        <v>22</v>
      </c>
      <c r="B47" s="3">
        <v>38565</v>
      </c>
      <c r="C47" s="2">
        <v>1517.31</v>
      </c>
      <c r="D47" s="2" t="s">
        <v>98</v>
      </c>
      <c r="E47" t="s">
        <v>99</v>
      </c>
    </row>
    <row r="48" spans="1:5" x14ac:dyDescent="0.45">
      <c r="A48" t="s">
        <v>18</v>
      </c>
      <c r="B48" s="3">
        <v>38565</v>
      </c>
      <c r="C48" s="2">
        <v>1626.54</v>
      </c>
      <c r="D48" s="2" t="s">
        <v>100</v>
      </c>
      <c r="E48" t="s">
        <v>101</v>
      </c>
    </row>
    <row r="49" spans="1:5" x14ac:dyDescent="0.45">
      <c r="A49" t="s">
        <v>20</v>
      </c>
      <c r="B49" s="3">
        <v>38565</v>
      </c>
      <c r="C49" s="2">
        <v>1599.23</v>
      </c>
      <c r="D49" s="2" t="s">
        <v>102</v>
      </c>
      <c r="E49" t="s">
        <v>103</v>
      </c>
    </row>
    <row r="50" spans="1:5" x14ac:dyDescent="0.45">
      <c r="A50" t="s">
        <v>25</v>
      </c>
      <c r="B50" s="3">
        <v>38565</v>
      </c>
      <c r="C50" s="2">
        <v>1371.52</v>
      </c>
      <c r="D50" s="2" t="s">
        <v>104</v>
      </c>
      <c r="E50" t="s">
        <v>105</v>
      </c>
    </row>
    <row r="51" spans="1:5" x14ac:dyDescent="0.45">
      <c r="A51" t="s">
        <v>24</v>
      </c>
      <c r="B51" s="3">
        <v>38504</v>
      </c>
      <c r="C51" s="2">
        <v>495.7</v>
      </c>
      <c r="D51" s="2" t="s">
        <v>106</v>
      </c>
      <c r="E51" t="s">
        <v>107</v>
      </c>
    </row>
    <row r="52" spans="1:5" x14ac:dyDescent="0.45">
      <c r="A52" t="s">
        <v>27</v>
      </c>
      <c r="B52" s="3">
        <v>38504</v>
      </c>
      <c r="C52" s="2">
        <v>526.66999999999996</v>
      </c>
      <c r="D52" s="2" t="s">
        <v>108</v>
      </c>
      <c r="E52" t="s">
        <v>109</v>
      </c>
    </row>
    <row r="53" spans="1:5" x14ac:dyDescent="0.45">
      <c r="A53" t="s">
        <v>22</v>
      </c>
      <c r="B53" s="3">
        <v>38504</v>
      </c>
      <c r="C53" s="2">
        <v>612.4</v>
      </c>
      <c r="D53" s="2" t="s">
        <v>110</v>
      </c>
      <c r="E53" t="s">
        <v>111</v>
      </c>
    </row>
    <row r="54" spans="1:5" x14ac:dyDescent="0.45">
      <c r="A54" t="s">
        <v>18</v>
      </c>
      <c r="B54" s="3">
        <v>38504</v>
      </c>
      <c r="C54" s="2">
        <v>565.67999999999995</v>
      </c>
      <c r="D54" s="2" t="s">
        <v>112</v>
      </c>
      <c r="E54" t="s">
        <v>113</v>
      </c>
    </row>
    <row r="55" spans="1:5" x14ac:dyDescent="0.45">
      <c r="A55" t="s">
        <v>23</v>
      </c>
      <c r="B55" s="3">
        <v>38504</v>
      </c>
      <c r="C55" s="2">
        <v>508.84</v>
      </c>
      <c r="D55" s="2" t="s">
        <v>114</v>
      </c>
      <c r="E55" t="s">
        <v>115</v>
      </c>
    </row>
    <row r="56" spans="1:5" x14ac:dyDescent="0.45">
      <c r="A56" t="s">
        <v>26</v>
      </c>
      <c r="B56" s="3">
        <v>38504</v>
      </c>
      <c r="C56" s="2">
        <v>533.76</v>
      </c>
      <c r="D56" s="2" t="s">
        <v>116</v>
      </c>
      <c r="E56" t="s">
        <v>117</v>
      </c>
    </row>
    <row r="57" spans="1:5" x14ac:dyDescent="0.45">
      <c r="A57" t="s">
        <v>21</v>
      </c>
      <c r="B57" s="3">
        <v>38504</v>
      </c>
      <c r="C57" s="2">
        <v>577.46</v>
      </c>
      <c r="D57" s="2" t="s">
        <v>118</v>
      </c>
      <c r="E57" t="s">
        <v>119</v>
      </c>
    </row>
    <row r="58" spans="1:5" x14ac:dyDescent="0.45">
      <c r="A58" t="s">
        <v>20</v>
      </c>
      <c r="B58" s="3">
        <v>38504</v>
      </c>
      <c r="C58" s="2">
        <v>585.58000000000004</v>
      </c>
      <c r="D58" s="2" t="s">
        <v>120</v>
      </c>
      <c r="E58" t="s">
        <v>121</v>
      </c>
    </row>
    <row r="59" spans="1:5" x14ac:dyDescent="0.45">
      <c r="A59" t="s">
        <v>25</v>
      </c>
      <c r="B59" s="3">
        <v>38504</v>
      </c>
      <c r="C59" s="2">
        <v>518.64</v>
      </c>
      <c r="D59" s="2" t="s">
        <v>122</v>
      </c>
      <c r="E59" t="s">
        <v>123</v>
      </c>
    </row>
    <row r="60" spans="1:5" x14ac:dyDescent="0.45">
      <c r="A60" t="s">
        <v>17</v>
      </c>
      <c r="B60" s="3">
        <v>38504</v>
      </c>
      <c r="C60" s="2">
        <v>681.4</v>
      </c>
      <c r="D60" s="2" t="s">
        <v>124</v>
      </c>
      <c r="E60" t="s">
        <v>125</v>
      </c>
    </row>
    <row r="61" spans="1:5" x14ac:dyDescent="0.45">
      <c r="A61" t="s">
        <v>15</v>
      </c>
      <c r="B61" s="3">
        <v>38504</v>
      </c>
      <c r="C61" s="2">
        <v>682.48</v>
      </c>
      <c r="D61" s="2" t="s">
        <v>126</v>
      </c>
      <c r="E61" t="s">
        <v>127</v>
      </c>
    </row>
    <row r="62" spans="1:5" x14ac:dyDescent="0.45">
      <c r="A62" t="s">
        <v>19</v>
      </c>
      <c r="B62" s="3">
        <v>38504</v>
      </c>
      <c r="C62" s="2">
        <v>628.58000000000004</v>
      </c>
      <c r="D62" s="2" t="s">
        <v>128</v>
      </c>
      <c r="E62" t="s">
        <v>129</v>
      </c>
    </row>
    <row r="63" spans="1:5" x14ac:dyDescent="0.45">
      <c r="A63" t="s">
        <v>16</v>
      </c>
      <c r="B63" s="3">
        <v>38504</v>
      </c>
      <c r="C63" s="2">
        <v>639.65</v>
      </c>
      <c r="D63" s="2" t="s">
        <v>130</v>
      </c>
      <c r="E63" t="s">
        <v>131</v>
      </c>
    </row>
    <row r="64" spans="1:5" x14ac:dyDescent="0.45">
      <c r="A64" t="s">
        <v>12</v>
      </c>
      <c r="B64" s="3">
        <v>38504</v>
      </c>
      <c r="C64" s="2">
        <v>696.41</v>
      </c>
      <c r="D64" s="2" t="s">
        <v>132</v>
      </c>
      <c r="E64" t="s">
        <v>133</v>
      </c>
    </row>
    <row r="65" spans="1:5" x14ac:dyDescent="0.45">
      <c r="A65" t="s">
        <v>13</v>
      </c>
      <c r="B65" s="3">
        <v>38504</v>
      </c>
      <c r="C65" s="2">
        <v>685.38</v>
      </c>
      <c r="D65" s="2" t="s">
        <v>134</v>
      </c>
      <c r="E65" t="s">
        <v>135</v>
      </c>
    </row>
    <row r="66" spans="1:5" x14ac:dyDescent="0.45">
      <c r="A66" t="s">
        <v>14</v>
      </c>
      <c r="B66" s="3">
        <v>38504</v>
      </c>
      <c r="C66" s="2">
        <v>691.26</v>
      </c>
      <c r="D66" s="2" t="s">
        <v>136</v>
      </c>
      <c r="E66" t="s">
        <v>137</v>
      </c>
    </row>
    <row r="67" spans="1:5" x14ac:dyDescent="0.45">
      <c r="A67" t="s">
        <v>27</v>
      </c>
      <c r="B67" s="3">
        <v>38534</v>
      </c>
      <c r="C67" s="2">
        <v>1434.52</v>
      </c>
      <c r="D67" s="2" t="s">
        <v>138</v>
      </c>
      <c r="E67" t="s">
        <v>139</v>
      </c>
    </row>
    <row r="68" spans="1:5" x14ac:dyDescent="0.45">
      <c r="A68" t="s">
        <v>26</v>
      </c>
      <c r="B68" s="3">
        <v>38534</v>
      </c>
      <c r="C68" s="2">
        <v>1473.55</v>
      </c>
      <c r="D68" s="2" t="s">
        <v>140</v>
      </c>
      <c r="E68" t="s">
        <v>141</v>
      </c>
    </row>
    <row r="69" spans="1:5" x14ac:dyDescent="0.45">
      <c r="A69" t="s">
        <v>25</v>
      </c>
      <c r="B69" s="3">
        <v>38534</v>
      </c>
      <c r="C69" s="2">
        <v>1497.16</v>
      </c>
      <c r="D69" s="2" t="s">
        <v>142</v>
      </c>
      <c r="E69" t="s">
        <v>143</v>
      </c>
    </row>
    <row r="70" spans="1:5" x14ac:dyDescent="0.45">
      <c r="A70" t="s">
        <v>24</v>
      </c>
      <c r="B70" s="3">
        <v>38534</v>
      </c>
      <c r="C70" s="2">
        <v>1539.94</v>
      </c>
      <c r="D70" s="2" t="s">
        <v>144</v>
      </c>
      <c r="E70" t="s">
        <v>145</v>
      </c>
    </row>
    <row r="71" spans="1:5" x14ac:dyDescent="0.45">
      <c r="A71" t="s">
        <v>23</v>
      </c>
      <c r="B71" s="3">
        <v>38534</v>
      </c>
      <c r="C71" s="2">
        <v>1594.34</v>
      </c>
      <c r="D71" s="2" t="s">
        <v>146</v>
      </c>
      <c r="E71" t="s">
        <v>147</v>
      </c>
    </row>
    <row r="72" spans="1:5" x14ac:dyDescent="0.45">
      <c r="A72" t="s">
        <v>22</v>
      </c>
      <c r="B72" s="3">
        <v>38534</v>
      </c>
      <c r="C72" s="2">
        <v>1726.71</v>
      </c>
      <c r="D72" s="2" t="s">
        <v>148</v>
      </c>
      <c r="E72" t="s">
        <v>149</v>
      </c>
    </row>
    <row r="73" spans="1:5" x14ac:dyDescent="0.45">
      <c r="A73" t="s">
        <v>17</v>
      </c>
      <c r="B73" s="3">
        <v>38534</v>
      </c>
      <c r="C73" s="2">
        <v>1804.36</v>
      </c>
      <c r="D73" s="2" t="s">
        <v>150</v>
      </c>
      <c r="E73" t="s">
        <v>151</v>
      </c>
    </row>
    <row r="74" spans="1:5" x14ac:dyDescent="0.45">
      <c r="A74" t="s">
        <v>20</v>
      </c>
      <c r="B74" s="3">
        <v>38534</v>
      </c>
      <c r="C74" s="2">
        <v>1764.68</v>
      </c>
      <c r="D74" s="2" t="s">
        <v>152</v>
      </c>
      <c r="E74" t="s">
        <v>153</v>
      </c>
    </row>
    <row r="75" spans="1:5" x14ac:dyDescent="0.45">
      <c r="A75" t="s">
        <v>19</v>
      </c>
      <c r="B75" s="3">
        <v>38534</v>
      </c>
      <c r="C75" s="2">
        <v>1811.08</v>
      </c>
      <c r="D75" s="2" t="s">
        <v>154</v>
      </c>
      <c r="E75" t="s">
        <v>155</v>
      </c>
    </row>
    <row r="76" spans="1:5" x14ac:dyDescent="0.45">
      <c r="A76" t="s">
        <v>16</v>
      </c>
      <c r="B76" s="3">
        <v>38534</v>
      </c>
      <c r="C76" s="2">
        <v>1829.17</v>
      </c>
      <c r="D76" s="2" t="s">
        <v>156</v>
      </c>
      <c r="E76" t="s">
        <v>157</v>
      </c>
    </row>
    <row r="77" spans="1:5" x14ac:dyDescent="0.45">
      <c r="A77" t="s">
        <v>18</v>
      </c>
      <c r="B77" s="3">
        <v>38534</v>
      </c>
      <c r="C77" s="2">
        <v>1826.11</v>
      </c>
      <c r="D77" s="2" t="s">
        <v>158</v>
      </c>
      <c r="E77" t="s">
        <v>159</v>
      </c>
    </row>
    <row r="78" spans="1:5" x14ac:dyDescent="0.45">
      <c r="A78" t="s">
        <v>14</v>
      </c>
      <c r="B78" s="3">
        <v>38534</v>
      </c>
      <c r="C78" s="2">
        <v>1954.11</v>
      </c>
      <c r="D78" s="2" t="s">
        <v>160</v>
      </c>
      <c r="E78" t="s">
        <v>161</v>
      </c>
    </row>
    <row r="79" spans="1:5" x14ac:dyDescent="0.45">
      <c r="A79" t="s">
        <v>21</v>
      </c>
      <c r="B79" s="3">
        <v>38534</v>
      </c>
      <c r="C79" s="2">
        <v>1840.4</v>
      </c>
      <c r="D79" s="2" t="s">
        <v>162</v>
      </c>
      <c r="E79" t="s">
        <v>163</v>
      </c>
    </row>
    <row r="80" spans="1:5" x14ac:dyDescent="0.45">
      <c r="A80" t="s">
        <v>15</v>
      </c>
      <c r="B80" s="3">
        <v>38534</v>
      </c>
      <c r="C80" s="2">
        <v>1978.37</v>
      </c>
      <c r="D80" s="2" t="s">
        <v>164</v>
      </c>
      <c r="E80" t="s">
        <v>165</v>
      </c>
    </row>
    <row r="81" spans="1:5" x14ac:dyDescent="0.45">
      <c r="A81" t="s">
        <v>13</v>
      </c>
      <c r="B81" s="3">
        <v>38534</v>
      </c>
      <c r="C81" s="2">
        <v>2013.38</v>
      </c>
      <c r="D81" s="2" t="s">
        <v>166</v>
      </c>
      <c r="E81" t="s">
        <v>167</v>
      </c>
    </row>
    <row r="82" spans="1:5" x14ac:dyDescent="0.45">
      <c r="A82" t="s">
        <v>12</v>
      </c>
      <c r="B82" s="3">
        <v>38534</v>
      </c>
      <c r="C82" s="2">
        <v>2281.0300000000002</v>
      </c>
      <c r="D82" s="2" t="s">
        <v>168</v>
      </c>
      <c r="E82" t="s">
        <v>169</v>
      </c>
    </row>
  </sheetData>
  <mergeCells count="1">
    <mergeCell ref="A1:E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4654A-B8ED-4066-A983-31732512A661}">
  <dimension ref="A1:G6"/>
  <sheetViews>
    <sheetView workbookViewId="0">
      <selection activeCell="G5" sqref="G5"/>
    </sheetView>
  </sheetViews>
  <sheetFormatPr defaultRowHeight="14.25" x14ac:dyDescent="0.45"/>
  <cols>
    <col min="1" max="1" width="12.796875" customWidth="1"/>
    <col min="2" max="2" width="11.796875" bestFit="1" customWidth="1"/>
    <col min="3" max="3" width="13.265625" bestFit="1" customWidth="1"/>
    <col min="4" max="4" width="14.19921875" bestFit="1" customWidth="1"/>
    <col min="5" max="5" width="21.73046875" bestFit="1" customWidth="1"/>
    <col min="6" max="6" width="14.265625" bestFit="1" customWidth="1"/>
    <col min="7" max="7" width="20.46484375" customWidth="1"/>
  </cols>
  <sheetData>
    <row r="1" spans="1:7" x14ac:dyDescent="0.45">
      <c r="A1" s="4" t="s">
        <v>36</v>
      </c>
      <c r="B1" s="4"/>
      <c r="C1" s="4"/>
      <c r="D1" s="4"/>
      <c r="E1" s="4"/>
      <c r="F1" s="4"/>
    </row>
    <row r="2" spans="1:7" x14ac:dyDescent="0.45">
      <c r="A2" t="s">
        <v>30</v>
      </c>
      <c r="B2" t="s">
        <v>29</v>
      </c>
      <c r="C2" t="s">
        <v>31</v>
      </c>
      <c r="D2" t="s">
        <v>1</v>
      </c>
      <c r="E2" t="s">
        <v>32</v>
      </c>
      <c r="F2" t="s">
        <v>33</v>
      </c>
      <c r="G2" t="s">
        <v>177</v>
      </c>
    </row>
    <row r="3" spans="1:7" x14ac:dyDescent="0.45">
      <c r="A3" s="10" t="s">
        <v>34</v>
      </c>
      <c r="B3" s="8">
        <v>2</v>
      </c>
      <c r="C3" s="8">
        <v>7990</v>
      </c>
      <c r="D3" s="9">
        <v>33924.06</v>
      </c>
      <c r="E3" s="8">
        <v>4.25</v>
      </c>
      <c r="F3" s="8">
        <v>1</v>
      </c>
      <c r="G3" s="8" t="s">
        <v>176</v>
      </c>
    </row>
    <row r="4" spans="1:7" x14ac:dyDescent="0.45">
      <c r="A4" s="10" t="s">
        <v>35</v>
      </c>
      <c r="B4" s="8">
        <v>1</v>
      </c>
      <c r="C4" s="8">
        <v>8054</v>
      </c>
      <c r="D4" s="9">
        <v>33482.5</v>
      </c>
      <c r="E4" s="8">
        <v>4.16</v>
      </c>
      <c r="F4" s="8">
        <v>2</v>
      </c>
      <c r="G4" s="8" t="s">
        <v>178</v>
      </c>
    </row>
    <row r="5" spans="1:7" x14ac:dyDescent="0.45">
      <c r="B5" s="8"/>
      <c r="C5" s="8"/>
      <c r="D5" s="8"/>
      <c r="E5" s="8"/>
      <c r="F5" s="8"/>
      <c r="G5" s="8"/>
    </row>
    <row r="6" spans="1:7" x14ac:dyDescent="0.45">
      <c r="B6" s="8"/>
      <c r="C6" s="8"/>
      <c r="D6" s="8"/>
      <c r="E6" s="8"/>
      <c r="F6" s="8"/>
      <c r="G6" s="8"/>
    </row>
  </sheetData>
  <mergeCells count="1">
    <mergeCell ref="A1:F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39DD23-1759-41D9-90B9-2BB614B42C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Executive Report</vt:lpstr>
      <vt:lpstr>Analytical Approach</vt:lpstr>
      <vt:lpstr>Total_Revenue</vt:lpstr>
      <vt:lpstr>Monthly_Revenue</vt:lpstr>
      <vt:lpstr>Store_Contribution</vt:lpstr>
      <vt:lpstr>Top_Category_Revenue</vt:lpstr>
      <vt:lpstr>Declining_Revenue_Categories</vt:lpstr>
      <vt:lpstr>Staff_Performance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sharleen guerrero</dc:creator>
  <cp:lastModifiedBy>sharleen guerrero</cp:lastModifiedBy>
  <dcterms:created xsi:type="dcterms:W3CDTF">2026-04-26T03:22:26Z</dcterms:created>
  <dcterms:modified xsi:type="dcterms:W3CDTF">2026-04-27T11:18:34Z</dcterms:modified>
</cp:coreProperties>
</file>