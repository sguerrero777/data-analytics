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hidePivotFieldList="1"/>
  <mc:AlternateContent xmlns:mc="http://schemas.openxmlformats.org/markup-compatibility/2006">
    <mc:Choice Requires="x15">
      <x15ac:absPath xmlns:x15ac="http://schemas.microsoft.com/office/spreadsheetml/2010/11/ac" url="https://yearuptemp-my.sharepoint.com/personal/sguerrero_my_yearupunited_org/Documents/Documents/DataAnalytics/pre-week-2/"/>
    </mc:Choice>
  </mc:AlternateContent>
  <xr:revisionPtr revIDLastSave="261" documentId="8_{22FB53DA-2B5F-47FA-8EBE-84D09DEE1496}" xr6:coauthVersionLast="47" xr6:coauthVersionMax="47" xr10:uidLastSave="{9D70401A-B633-4DE3-9C06-98C1DE6EEADE}"/>
  <bookViews>
    <workbookView xWindow="4777" yWindow="705" windowWidth="16200" windowHeight="11812" firstSheet="2" activeTab="2" xr2:uid="{C8FE5C07-5BE4-458B-8E9C-B2ED4010A00F}"/>
  </bookViews>
  <sheets>
    <sheet name="Store_Data" sheetId="1" r:id="rId1"/>
    <sheet name="Store_Region_Summary" sheetId="3" r:id="rId2"/>
    <sheet name="Store_Category_Summary" sheetId="2" r:id="rId3"/>
  </sheets>
  <calcPr calcId="191028"/>
  <pivotCaches>
    <pivotCache cacheId="3598"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<sst xmlns="http://schemas.openxmlformats.org/spreadsheetml/2006/main" count="74" uniqueCount="39">
  <si>
    <t>Store</t>
  </si>
  <si>
    <t>Region</t>
  </si>
  <si>
    <t>Category</t>
  </si>
  <si>
    <t>Monthly Sales</t>
  </si>
  <si>
    <t>Identification</t>
  </si>
  <si>
    <t>Store H</t>
  </si>
  <si>
    <t>West</t>
  </si>
  <si>
    <t>Electronics</t>
  </si>
  <si>
    <t>A) Numerical Column: "Monthly Sales"</t>
  </si>
  <si>
    <t>Store E</t>
  </si>
  <si>
    <t>East</t>
  </si>
  <si>
    <t>B) Categorical Columns: "Store", "Region", "Category"</t>
  </si>
  <si>
    <t>Store A</t>
  </si>
  <si>
    <t>North</t>
  </si>
  <si>
    <t>Apparel</t>
  </si>
  <si>
    <t>Store L</t>
  </si>
  <si>
    <t>Insights</t>
  </si>
  <si>
    <t>Store C</t>
  </si>
  <si>
    <t>South</t>
  </si>
  <si>
    <t>Overall, the store perfomance is tightly grouped and consistent, falling into a range or 43-52, with the only outlier being store H, performing significantly higher than the rest.</t>
  </si>
  <si>
    <t>Store J</t>
  </si>
  <si>
    <t>Store F</t>
  </si>
  <si>
    <t>Store D</t>
  </si>
  <si>
    <t>Home Goods</t>
  </si>
  <si>
    <t>Store K</t>
  </si>
  <si>
    <t>Store G</t>
  </si>
  <si>
    <t>Store B</t>
  </si>
  <si>
    <t>Store I</t>
  </si>
  <si>
    <t>Row Labels</t>
  </si>
  <si>
    <t>Sum of Monthly Sales</t>
  </si>
  <si>
    <t>Grand Total</t>
  </si>
  <si>
    <t>Summary</t>
  </si>
  <si>
    <t>4A) Per the pie chart, the West region contributes the most to monthly sales at 28%  overall.</t>
  </si>
  <si>
    <t>4B) Since the highest performing store is Store H located in the West region, it may be inflating the totals because of its significantly higher monthly sales. Store H's sales are outside of the range by 20, a signficant increase, which may contribute to the West Region's success.</t>
  </si>
  <si>
    <t>3A) Overall, the electronics category performs best.</t>
  </si>
  <si>
    <t>3B) I selected a bar chart for this analysis because I can easily recogize see which category is leading visually.</t>
  </si>
  <si>
    <t xml:space="preserve">3C) The chart makes clear that across categories, electronics perform the best with the highest monthly sales while Home Goods has the least monthly sales. </t>
  </si>
  <si>
    <t>Additonal Insights</t>
  </si>
  <si>
    <t xml:space="preserve">This trend in stores that focus on electronics perfoming signifcantly higher than other categories may be contribtued by the younger genrations raised in the tech age spending more money on electronics and digital services.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</si>
</sst>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[homework2.xlsx]Store_Data!PivotTable1</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Monthly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58000"/>
            </a:schemeClr>
          </a:solidFill>
          <a:ln>
            <a:noFill/>
          </a:ln>
          <a:effectLst>
            <a:outerShdw blurRad="317500" algn="ctr" rotWithShape="0">
              <a:prstClr val="black">
                <a:alpha val="25000"/>
              </a:prstClr>
            </a:outerShdw>
          </a:effectLst>
        </c:spPr>
      </c:pivotFmt>
      <c:pivotFmt>
        <c:idx val="2"/>
        <c:spPr>
          <a:solidFill>
            <a:schemeClr val="accent1">
              <a:shade val="86000"/>
            </a:schemeClr>
          </a:solidFill>
          <a:ln>
            <a:noFill/>
          </a:ln>
          <a:effectLst>
            <a:outerShdw blurRad="317500" algn="ctr" rotWithShape="0">
              <a:prstClr val="black">
                <a:alpha val="25000"/>
              </a:prstClr>
            </a:outerShdw>
          </a:effectLst>
        </c:spPr>
      </c:pivotFmt>
      <c:pivotFmt>
        <c:idx val="3"/>
        <c:spPr>
          <a:solidFill>
            <a:schemeClr val="accent1">
              <a:tint val="86000"/>
            </a:schemeClr>
          </a:solidFill>
          <a:ln>
            <a:noFill/>
          </a:ln>
          <a:effectLst>
            <a:outerShdw blurRad="317500" algn="ctr" rotWithShape="0">
              <a:prstClr val="black">
                <a:alpha val="25000"/>
              </a:prstClr>
            </a:outerShdw>
          </a:effectLst>
        </c:spPr>
      </c:pivotFmt>
      <c:pivotFmt>
        <c:idx val="4"/>
        <c:spPr>
          <a:solidFill>
            <a:schemeClr val="accent1">
              <a:tint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Store_Data!$B$15</c:f>
              <c:strCache>
                <c:ptCount val="1"/>
                <c:pt idx="0">
                  <c:v>Total</c:v>
                </c:pt>
              </c:strCache>
            </c:strRef>
          </c:tx>
          <c:dPt>
            <c:idx val="0"/>
            <c:bubble3D val="0"/>
            <c:spPr>
              <a:solidFill>
                <a:schemeClr val="accent1">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3A1-4137-BA23-548319250D13}"/>
              </c:ext>
            </c:extLst>
          </c:dPt>
          <c:dPt>
            <c:idx val="1"/>
            <c:bubble3D val="0"/>
            <c:spPr>
              <a:solidFill>
                <a:schemeClr val="accent1">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3A1-4137-BA23-548319250D13}"/>
              </c:ext>
            </c:extLst>
          </c:dPt>
          <c:dPt>
            <c:idx val="2"/>
            <c:bubble3D val="0"/>
            <c:spPr>
              <a:solidFill>
                <a:schemeClr val="accent1">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3A1-4137-BA23-548319250D13}"/>
              </c:ext>
            </c:extLst>
          </c:dPt>
          <c:dPt>
            <c:idx val="3"/>
            <c:bubble3D val="0"/>
            <c:spPr>
              <a:solidFill>
                <a:schemeClr val="accent1">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3A1-4137-BA23-548319250D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Store_Data!$A$16:$A$20</c:f>
              <c:strCache>
                <c:ptCount val="4"/>
                <c:pt idx="0">
                  <c:v>East</c:v>
                </c:pt>
                <c:pt idx="1">
                  <c:v>North</c:v>
                </c:pt>
                <c:pt idx="2">
                  <c:v>South</c:v>
                </c:pt>
                <c:pt idx="3">
                  <c:v>West</c:v>
                </c:pt>
              </c:strCache>
            </c:strRef>
          </c:cat>
          <c:val>
            <c:numRef>
              <c:f>Store_Data!$B$16:$B$20</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0-D7FD-49DE-B6B5-A0BC92A07E6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[homework2.xlsx]Store_Data!PivotTable1</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Monthly 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58000"/>
            </a:schemeClr>
          </a:solidFill>
          <a:ln>
            <a:noFill/>
          </a:ln>
          <a:effectLst>
            <a:outerShdw blurRad="317500" algn="ctr" rotWithShape="0">
              <a:prstClr val="black">
                <a:alpha val="25000"/>
              </a:prstClr>
            </a:outerShdw>
          </a:effectLst>
        </c:spPr>
      </c:pivotFmt>
      <c:pivotFmt>
        <c:idx val="3"/>
        <c:spPr>
          <a:solidFill>
            <a:schemeClr val="accent1">
              <a:shade val="86000"/>
            </a:schemeClr>
          </a:solidFill>
          <a:ln>
            <a:noFill/>
          </a:ln>
          <a:effectLst>
            <a:outerShdw blurRad="317500" algn="ctr" rotWithShape="0">
              <a:prstClr val="black">
                <a:alpha val="25000"/>
              </a:prstClr>
            </a:outerShdw>
          </a:effectLst>
        </c:spPr>
      </c:pivotFmt>
      <c:pivotFmt>
        <c:idx val="4"/>
        <c:spPr>
          <a:solidFill>
            <a:schemeClr val="accent1">
              <a:tint val="86000"/>
            </a:schemeClr>
          </a:solidFill>
          <a:ln>
            <a:noFill/>
          </a:ln>
          <a:effectLst>
            <a:outerShdw blurRad="317500" algn="ctr" rotWithShape="0">
              <a:prstClr val="black">
                <a:alpha val="25000"/>
              </a:prstClr>
            </a:outerShdw>
          </a:effectLst>
        </c:spPr>
      </c:pivotFmt>
      <c:pivotFmt>
        <c:idx val="5"/>
        <c:spPr>
          <a:solidFill>
            <a:schemeClr val="accent1">
              <a:tint val="58000"/>
            </a:schemeClr>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317500" algn="ctr" rotWithShape="0">
              <a:prstClr val="black">
                <a:alpha val="25000"/>
              </a:prstClr>
            </a:outerShdw>
          </a:effectLst>
        </c:spPr>
      </c:pivotFmt>
      <c:pivotFmt>
        <c:idx val="8"/>
        <c:spPr>
          <a:solidFill>
            <a:schemeClr val="accent1">
              <a:shade val="86000"/>
            </a:schemeClr>
          </a:solidFill>
          <a:ln>
            <a:noFill/>
          </a:ln>
          <a:effectLst>
            <a:outerShdw blurRad="317500" algn="ctr" rotWithShape="0">
              <a:prstClr val="black">
                <a:alpha val="25000"/>
              </a:prstClr>
            </a:outerShdw>
          </a:effectLst>
        </c:spPr>
      </c:pivotFmt>
      <c:pivotFmt>
        <c:idx val="9"/>
        <c:spPr>
          <a:solidFill>
            <a:schemeClr val="accent1">
              <a:tint val="86000"/>
            </a:schemeClr>
          </a:solidFill>
          <a:ln>
            <a:noFill/>
          </a:ln>
          <a:effectLst>
            <a:outerShdw blurRad="317500" algn="ctr" rotWithShape="0">
              <a:prstClr val="black">
                <a:alpha val="25000"/>
              </a:prstClr>
            </a:outerShdw>
          </a:effectLst>
        </c:spPr>
      </c:pivotFmt>
      <c:pivotFmt>
        <c:idx val="10"/>
        <c:spPr>
          <a:solidFill>
            <a:schemeClr val="accent1">
              <a:tint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Store_Data!$B$15</c:f>
              <c:strCache>
                <c:ptCount val="1"/>
                <c:pt idx="0">
                  <c:v>Total</c:v>
                </c:pt>
              </c:strCache>
            </c:strRef>
          </c:tx>
          <c:dPt>
            <c:idx val="0"/>
            <c:bubble3D val="0"/>
            <c:spPr>
              <a:solidFill>
                <a:schemeClr val="accent1">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CFA-4CE6-90BC-571FDB3A5048}"/>
              </c:ext>
            </c:extLst>
          </c:dPt>
          <c:dPt>
            <c:idx val="1"/>
            <c:bubble3D val="0"/>
            <c:spPr>
              <a:solidFill>
                <a:schemeClr val="accent1">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CFA-4CE6-90BC-571FDB3A5048}"/>
              </c:ext>
            </c:extLst>
          </c:dPt>
          <c:dPt>
            <c:idx val="2"/>
            <c:bubble3D val="0"/>
            <c:spPr>
              <a:solidFill>
                <a:schemeClr val="accent1">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CFA-4CE6-90BC-571FDB3A5048}"/>
              </c:ext>
            </c:extLst>
          </c:dPt>
          <c:dPt>
            <c:idx val="3"/>
            <c:bubble3D val="0"/>
            <c:spPr>
              <a:solidFill>
                <a:schemeClr val="accent1">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CFA-4CE6-90BC-571FDB3A504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Store_Data!$A$16:$A$20</c:f>
              <c:strCache>
                <c:ptCount val="4"/>
                <c:pt idx="0">
                  <c:v>East</c:v>
                </c:pt>
                <c:pt idx="1">
                  <c:v>North</c:v>
                </c:pt>
                <c:pt idx="2">
                  <c:v>South</c:v>
                </c:pt>
                <c:pt idx="3">
                  <c:v>West</c:v>
                </c:pt>
              </c:strCache>
            </c:strRef>
          </c:cat>
          <c:val>
            <c:numRef>
              <c:f>Store_Data!$B$16:$B$20</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8-8CFA-4CE6-90BC-571FDB3A504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[homework2.xlsx]Store_Category_Summary!PivotTable5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Store_Category_Summary!$B$1</c:f>
              <c:strCache>
                <c:ptCount val="1"/>
                <c:pt idx="0">
                  <c:v>Total</c:v>
                </c:pt>
              </c:strCache>
            </c:strRef>
          </c:tx>
          <c:spPr>
            <a:solidFill>
              <a:schemeClr val="accent1"/>
            </a:solidFill>
            <a:ln>
              <a:noFill/>
            </a:ln>
            <a:effectLst/>
          </c:spPr>
          <c:invertIfNegative val="0"/>
          <c:cat>
            <c:strRef>
              <c:f>Store_Category_Summary!$A$2:$A$5</c:f>
              <c:strCache>
                <c:ptCount val="3"/>
                <c:pt idx="0">
                  <c:v>Apparel</c:v>
                </c:pt>
                <c:pt idx="1">
                  <c:v>Electronics</c:v>
                </c:pt>
                <c:pt idx="2">
                  <c:v>Home Goods</c:v>
                </c:pt>
              </c:strCache>
            </c:strRef>
          </c:cat>
          <c:val>
            <c:numRef>
              <c:f>Store_Category_Summary!$B$2:$B$5</c:f>
              <c:numCache>
                <c:formatCode>General</c:formatCode>
                <c:ptCount val="3"/>
                <c:pt idx="0">
                  <c:v>195</c:v>
                </c:pt>
                <c:pt idx="1">
                  <c:v>218</c:v>
                </c:pt>
                <c:pt idx="2">
                  <c:v>180</c:v>
                </c:pt>
              </c:numCache>
            </c:numRef>
          </c:val>
          <c:extLst>
            <c:ext xmlns:c16="http://schemas.microsoft.com/office/drawing/2014/chart" uri="{C3380CC4-5D6E-409C-BE32-E72D297353CC}">
              <c16:uniqueId val="{00000000-E952-4AE2-8E78-19319AE34FEA}"/>
            </c:ext>
          </c:extLst>
        </c:ser>
        <c:dLbls>
          <c:showLegendKey val="0"/>
          <c:showVal val="0"/>
          <c:showCatName val="0"/>
          <c:showSerName val="0"/>
          <c:showPercent val="0"/>
          <c:showBubbleSize val="0"/>
        </c:dLbls>
        <c:gapWidth val="182"/>
        <c:axId val="1159049007"/>
        <c:axId val="1159047567"/>
      </c:barChart>
      <c:catAx>
        <c:axId val="1159049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047567"/>
        <c:crosses val="autoZero"/>
        <c:auto val="1"/>
        <c:lblAlgn val="ctr"/>
        <c:lblOffset val="100"/>
        <c:noMultiLvlLbl val="0"/>
      </c:catAx>
      <c:valAx>
        <c:axId val="1159047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04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30955</xdr:colOff>
      <xdr:row>8</xdr:row>
      <xdr:rowOff>95250</xdr:rowOff>
    </xdr:from>
    <xdr:to>
      <xdr:col>6</xdr:col>
      <xdr:colOff>52387</xdr:colOff>
      <xdr:row>20</xdr:row>
      <xdr:rowOff>95250</xdr:rowOff>
    </xdr:to>
    <xdr:graphicFrame macro="">
      <xdr:nvGraphicFramePr>
        <xdr:cNvPr id="3" name="Chart 2">
          <a:extLst>
            <a:ext uri="{FF2B5EF4-FFF2-40B4-BE49-F238E27FC236}">
              <a16:creationId xmlns:a16="http://schemas.microsoft.com/office/drawing/2014/main" id="{8E542508-96EF-3012-39C5-96AAF9692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80963</xdr:colOff>
      <xdr:row>6</xdr:row>
      <xdr:rowOff>161926</xdr:rowOff>
    </xdr:from>
    <xdr:to>
      <xdr:col>3</xdr:col>
      <xdr:colOff>440533</xdr:colOff>
      <xdr:row>17</xdr:row>
      <xdr:rowOff>128588</xdr:rowOff>
    </xdr:to>
    <xdr:graphicFrame macro="">
      <xdr:nvGraphicFramePr>
        <xdr:cNvPr id="2" name="Chart 1">
          <a:extLst>
            <a:ext uri="{FF2B5EF4-FFF2-40B4-BE49-F238E27FC236}">
              <a16:creationId xmlns:a16="http://schemas.microsoft.com/office/drawing/2014/main" id="{5F52145A-AA17-400C-9CDB-9E8937F88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107155</xdr:colOff>
      <xdr:row>5</xdr:row>
      <xdr:rowOff>161925</xdr:rowOff>
    </xdr:from>
    <xdr:to>
      <xdr:col>3</xdr:col>
      <xdr:colOff>538163</xdr:colOff>
      <xdr:row>20</xdr:row>
      <xdr:rowOff>14288</xdr:rowOff>
    </xdr:to>
    <xdr:graphicFrame macro="">
      <xdr:nvGraphicFramePr>
        <xdr:cNvPr id="2" name="Chart 1">
          <a:extLst>
            <a:ext uri="{FF2B5EF4-FFF2-40B4-BE49-F238E27FC236}">
              <a16:creationId xmlns:a16="http://schemas.microsoft.com/office/drawing/2014/main" id="{2C2FDE5E-4432-BCFD-D84C-734B03027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12.530599768521" createdVersion="8" refreshedVersion="8" minRefreshableVersion="3" recordCount="12" xr:uid="{2EAF1004-7FF6-4AB4-8761-24D6557C37F8}">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D8BA44-C44F-4451-93AA-230D260E7E29}" name="PivotTable1" cacheId="35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20"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10">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2">
          <reference field="4294967294" count="1" selected="0">
            <x v="0"/>
          </reference>
          <reference field="1" count="1" selected="0">
            <x v="2"/>
          </reference>
        </references>
      </pivotArea>
    </chartFormat>
    <chartFormat chart="8" format="10">
      <pivotArea type="data" outline="0" fieldPosition="0">
        <references count="2">
          <reference field="4294967294" count="1" selected="0">
            <x v="0"/>
          </reference>
          <reference field="1" count="1" selected="0">
            <x v="3"/>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B6064F-B430-4347-8B32-B2FE9F65ADCF}" name="PivotTable2" cacheId="35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43D770-752D-42F2-B9A3-51E5C8876A00}" name="PivotTable5" cacheId="35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BBC25-96BA-4AFE-A5E3-0C1E5BD973B5}">
  <dimension ref="A1:F20"/>
  <sheetViews>
    <sheetView workbookViewId="0">
      <selection activeCell="D16" sqref="D16"/>
    </sheetView>
  </sheetViews>
  <sheetFormatPr defaultRowHeight="14.25"/>
  <cols>
    <col min="1" max="1" width="12" bestFit="1" customWidth="1"/>
    <col min="2" max="2" width="17.85546875" bestFit="1" customWidth="1"/>
    <col min="3" max="3" width="11.140625" customWidth="1"/>
    <col min="4" max="4" width="11.7109375" customWidth="1"/>
    <col min="6" max="6" width="42.140625" customWidth="1"/>
    <col min="7" max="7" width="17.85546875" bestFit="1" customWidth="1"/>
  </cols>
  <sheetData>
    <row r="1" spans="1:6">
      <c r="A1" t="s">
        <v>0</v>
      </c>
      <c r="B1" t="s">
        <v>1</v>
      </c>
      <c r="C1" t="s">
        <v>2</v>
      </c>
      <c r="D1" t="s">
        <v>3</v>
      </c>
      <c r="F1" t="s">
        <v>4</v>
      </c>
    </row>
    <row r="2" spans="1:6">
      <c r="A2" t="s">
        <v>5</v>
      </c>
      <c r="B2" t="s">
        <v>6</v>
      </c>
      <c r="C2" t="s">
        <v>7</v>
      </c>
      <c r="D2">
        <v>72</v>
      </c>
      <c r="F2" t="s">
        <v>8</v>
      </c>
    </row>
    <row r="3" spans="1:6">
      <c r="A3" t="s">
        <v>9</v>
      </c>
      <c r="B3" t="s">
        <v>10</v>
      </c>
      <c r="C3" t="s">
        <v>7</v>
      </c>
      <c r="D3">
        <v>52</v>
      </c>
      <c r="F3" t="s">
        <v>11</v>
      </c>
    </row>
    <row r="4" spans="1:6">
      <c r="A4" t="s">
        <v>12</v>
      </c>
      <c r="B4" t="s">
        <v>13</v>
      </c>
      <c r="C4" t="s">
        <v>14</v>
      </c>
      <c r="D4">
        <v>51</v>
      </c>
    </row>
    <row r="5" spans="1:6">
      <c r="A5" t="s">
        <v>15</v>
      </c>
      <c r="B5" t="s">
        <v>6</v>
      </c>
      <c r="C5" t="s">
        <v>7</v>
      </c>
      <c r="D5">
        <v>50</v>
      </c>
      <c r="F5" t="s">
        <v>16</v>
      </c>
    </row>
    <row r="6" spans="1:6">
      <c r="A6" t="s">
        <v>17</v>
      </c>
      <c r="B6" t="s">
        <v>18</v>
      </c>
      <c r="C6" t="s">
        <v>14</v>
      </c>
      <c r="D6">
        <v>49</v>
      </c>
      <c r="F6" t="s">
        <v>19</v>
      </c>
    </row>
    <row r="7" spans="1:6">
      <c r="A7" t="s">
        <v>20</v>
      </c>
      <c r="B7" t="s">
        <v>18</v>
      </c>
      <c r="C7" t="s">
        <v>14</v>
      </c>
      <c r="D7">
        <v>48</v>
      </c>
    </row>
    <row r="8" spans="1:6">
      <c r="A8" t="s">
        <v>21</v>
      </c>
      <c r="B8" t="s">
        <v>10</v>
      </c>
      <c r="C8" t="s">
        <v>14</v>
      </c>
      <c r="D8">
        <v>47</v>
      </c>
    </row>
    <row r="9" spans="1:6">
      <c r="A9" t="s">
        <v>22</v>
      </c>
      <c r="B9" t="s">
        <v>18</v>
      </c>
      <c r="C9" t="s">
        <v>23</v>
      </c>
      <c r="D9">
        <v>46</v>
      </c>
    </row>
    <row r="10" spans="1:6">
      <c r="A10" t="s">
        <v>24</v>
      </c>
      <c r="B10" t="s">
        <v>10</v>
      </c>
      <c r="C10" t="s">
        <v>23</v>
      </c>
      <c r="D10">
        <v>46</v>
      </c>
    </row>
    <row r="11" spans="1:6">
      <c r="A11" t="s">
        <v>25</v>
      </c>
      <c r="B11" t="s">
        <v>6</v>
      </c>
      <c r="C11" t="s">
        <v>23</v>
      </c>
      <c r="D11">
        <v>45</v>
      </c>
    </row>
    <row r="12" spans="1:6">
      <c r="A12" t="s">
        <v>26</v>
      </c>
      <c r="B12" t="s">
        <v>13</v>
      </c>
      <c r="C12" t="s">
        <v>7</v>
      </c>
      <c r="D12">
        <v>44</v>
      </c>
    </row>
    <row r="13" spans="1:6">
      <c r="A13" t="s">
        <v>27</v>
      </c>
      <c r="B13" t="s">
        <v>13</v>
      </c>
      <c r="C13" t="s">
        <v>23</v>
      </c>
      <c r="D13">
        <v>43</v>
      </c>
    </row>
    <row r="15" spans="1:6">
      <c r="A15" s="1" t="s">
        <v>28</v>
      </c>
      <c r="B15" t="s">
        <v>29</v>
      </c>
    </row>
    <row r="16" spans="1:6">
      <c r="A16" s="2" t="s">
        <v>10</v>
      </c>
      <c r="B16">
        <v>145</v>
      </c>
    </row>
    <row r="17" spans="1:2">
      <c r="A17" s="2" t="s">
        <v>13</v>
      </c>
      <c r="B17">
        <v>138</v>
      </c>
    </row>
    <row r="18" spans="1:2">
      <c r="A18" s="2" t="s">
        <v>18</v>
      </c>
      <c r="B18">
        <v>143</v>
      </c>
    </row>
    <row r="19" spans="1:2">
      <c r="A19" s="2" t="s">
        <v>6</v>
      </c>
      <c r="B19">
        <v>167</v>
      </c>
    </row>
    <row r="20" spans="1:2">
      <c r="A20" s="2" t="s">
        <v>30</v>
      </c>
      <c r="B20">
        <v>593</v>
      </c>
    </row>
  </sheetData>
  <sortState xmlns:xlrd2="http://schemas.microsoft.com/office/spreadsheetml/2017/richdata2" ref="A2:D13">
    <sortCondition descending="1" ref="D2:D13"/>
  </sortState>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21C59-9147-4791-9873-C16C68F69EBE}">
  <dimension ref="A1:B22"/>
  <sheetViews>
    <sheetView topLeftCell="A4" workbookViewId="0">
      <selection activeCell="E26" sqref="E26"/>
    </sheetView>
  </sheetViews>
  <sheetFormatPr defaultRowHeight="14.25"/>
  <cols>
    <col min="1" max="1" width="10.85546875" customWidth="1"/>
    <col min="2" max="2" width="18.7109375" customWidth="1"/>
  </cols>
  <sheetData>
    <row r="1" spans="1:2">
      <c r="A1" s="1" t="s">
        <v>28</v>
      </c>
      <c r="B1" t="s">
        <v>29</v>
      </c>
    </row>
    <row r="2" spans="1:2">
      <c r="A2" s="2" t="s">
        <v>10</v>
      </c>
      <c r="B2">
        <v>145</v>
      </c>
    </row>
    <row r="3" spans="1:2">
      <c r="A3" s="2" t="s">
        <v>13</v>
      </c>
      <c r="B3">
        <v>138</v>
      </c>
    </row>
    <row r="4" spans="1:2">
      <c r="A4" s="2" t="s">
        <v>18</v>
      </c>
      <c r="B4">
        <v>143</v>
      </c>
    </row>
    <row r="5" spans="1:2">
      <c r="A5" s="2" t="s">
        <v>6</v>
      </c>
      <c r="B5">
        <v>167</v>
      </c>
    </row>
    <row r="6" spans="1:2">
      <c r="A6" s="2" t="s">
        <v>30</v>
      </c>
      <c r="B6">
        <v>593</v>
      </c>
    </row>
    <row r="20" spans="1:1">
      <c r="A20" t="s">
        <v>31</v>
      </c>
    </row>
    <row r="21" spans="1:1">
      <c r="A21" t="s">
        <v>32</v>
      </c>
    </row>
    <row r="22" spans="1:1">
      <c r="A22" t="s">
        <v>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6F411-9B12-428C-884E-200F210E4DF3}">
  <dimension ref="A1:B29"/>
  <sheetViews>
    <sheetView tabSelected="1" topLeftCell="A9" workbookViewId="0">
      <selection activeCell="C35" sqref="C35"/>
    </sheetView>
  </sheetViews>
  <sheetFormatPr defaultRowHeight="14.25"/>
  <cols>
    <col min="1" max="1" width="16.140625" customWidth="1"/>
    <col min="2" max="2" width="19" customWidth="1"/>
    <col min="3" max="3" width="16.28515625" customWidth="1"/>
  </cols>
  <sheetData>
    <row r="1" spans="1:2">
      <c r="A1" s="1" t="s">
        <v>28</v>
      </c>
      <c r="B1" t="s">
        <v>29</v>
      </c>
    </row>
    <row r="2" spans="1:2">
      <c r="A2" s="2" t="s">
        <v>14</v>
      </c>
      <c r="B2">
        <v>195</v>
      </c>
    </row>
    <row r="3" spans="1:2">
      <c r="A3" s="2" t="s">
        <v>7</v>
      </c>
      <c r="B3">
        <v>218</v>
      </c>
    </row>
    <row r="4" spans="1:2">
      <c r="A4" s="2" t="s">
        <v>23</v>
      </c>
      <c r="B4">
        <v>180</v>
      </c>
    </row>
    <row r="5" spans="1:2">
      <c r="A5" s="2" t="s">
        <v>30</v>
      </c>
      <c r="B5">
        <v>593</v>
      </c>
    </row>
    <row r="22" spans="1:1">
      <c r="A22" t="s">
        <v>16</v>
      </c>
    </row>
    <row r="23" spans="1:1">
      <c r="A23" t="s">
        <v>34</v>
      </c>
    </row>
    <row r="24" spans="1:1">
      <c r="A24" t="s">
        <v>35</v>
      </c>
    </row>
    <row r="25" spans="1:1">
      <c r="A25" t="s">
        <v>36</v>
      </c>
    </row>
    <row r="28" spans="1:1">
      <c r="A28" t="s">
        <v>37</v>
      </c>
    </row>
    <row r="29" spans="1:1">
      <c r="A29" t="s">
        <v>38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sharleen guerrero</dc:creator>
  <cp:keywords/>
  <dc:description/>
  <cp:lastModifiedBy>sharleen guerrero</cp:lastModifiedBy>
  <cp:revision/>
  <dcterms:created xsi:type="dcterms:W3CDTF">2026-03-31T16:18:07Z</dcterms:created>
  <dcterms:modified xsi:type="dcterms:W3CDTF">2026-03-31T17:34:10Z</dcterms:modified>
  <cp:category/>
  <cp:contentStatus/>
</cp:coreProperties>
</file>