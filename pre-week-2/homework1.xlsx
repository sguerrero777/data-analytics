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aruptemp-my.sharepoint.com/personal/sguerrero_my_yearupunited_org/Documents/Documents/DataAnalytics/pre-week-2/"/>
    </mc:Choice>
  </mc:AlternateContent>
  <xr:revisionPtr revIDLastSave="0" documentId="8_{E7491710-8A2B-4BA3-B37B-E6D3BF12307E}" xr6:coauthVersionLast="47" xr6:coauthVersionMax="47" xr10:uidLastSave="{00000000-0000-0000-0000-000000000000}"/>
  <bookViews>
    <workbookView xWindow="5400" yWindow="968" windowWidth="16200" windowHeight="11812" activeTab="1" xr2:uid="{00000000-000D-0000-FFFF-FFFF00000000}"/>
  </bookViews>
  <sheets>
    <sheet name="Store_Data" sheetId="1" r:id="rId1"/>
    <sheet name="Store_Summ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6" i="1"/>
  <c r="E5" i="1"/>
  <c r="E4" i="1"/>
  <c r="E3" i="1"/>
  <c r="E2" i="1"/>
</calcChain>
</file>

<file path=xl/sharedStrings.xml><?xml version="1.0" encoding="utf-8"?>
<sst xmlns="http://schemas.openxmlformats.org/spreadsheetml/2006/main" count="33" uniqueCount="33">
  <si>
    <t>Store</t>
  </si>
  <si>
    <t>Monthly Sales</t>
  </si>
  <si>
    <t>Descriptive Statistics</t>
  </si>
  <si>
    <t>Store A</t>
  </si>
  <si>
    <t>Mean</t>
  </si>
  <si>
    <t>Store B</t>
  </si>
  <si>
    <t>Median</t>
  </si>
  <si>
    <t>Store C</t>
  </si>
  <si>
    <t xml:space="preserve">Mode </t>
  </si>
  <si>
    <t>Store D</t>
  </si>
  <si>
    <t>Range</t>
  </si>
  <si>
    <t>Store E</t>
  </si>
  <si>
    <t>Standard Deviation</t>
  </si>
  <si>
    <t>Store F</t>
  </si>
  <si>
    <t>Store G</t>
  </si>
  <si>
    <t>Store H</t>
  </si>
  <si>
    <t>Store I</t>
  </si>
  <si>
    <t>Store J</t>
  </si>
  <si>
    <t>Store K</t>
  </si>
  <si>
    <t>Store L</t>
  </si>
  <si>
    <t>SD (remove Store H)</t>
  </si>
  <si>
    <t>Store Summary</t>
  </si>
  <si>
    <t>C. Impact of One Value</t>
  </si>
  <si>
    <t>D. Additional Info</t>
  </si>
  <si>
    <t>B. Store Grouping/Spread</t>
  </si>
  <si>
    <t>Interpretation</t>
  </si>
  <si>
    <t>Results</t>
  </si>
  <si>
    <t>7.6&gt;2.9, Store H significantly increases the SD of the store's performance</t>
  </si>
  <si>
    <t>A. Overall  AVG Performance</t>
  </si>
  <si>
    <t xml:space="preserve">The overall average performance across all stores is about 49.4, indicating that the stores we're performing at a moderate level, neither consistently high or low. </t>
  </si>
  <si>
    <t>Overall, the store performance is tightly grouped, falling into a range of 43-52 (within 10) with the only outlier being store H.</t>
  </si>
  <si>
    <t>The high value of store H, 72, signifcantly influences the results because it is about 29 dollars higher than the normal range. Store H also increases the standard deviation from 2.9 to 7.6, a signifcant jump.</t>
  </si>
  <si>
    <t xml:space="preserve">Additonal information that would be helpful is context as to what is different about store H that contributes to its unsually high sales compared to the other stores: customer counts, location, size of the store, etc.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</si>
</sst>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>
      <selection activeCell="F14" sqref="F14"/>
    </sheetView>
  </sheetViews>
  <sheetFormatPr defaultRowHeight="14.25" x14ac:dyDescent="0.45"/>
  <cols>
    <col min="2" max="2" width="13" customWidth="1"/>
    <col min="4" max="4" width="18.265625" customWidth="1"/>
  </cols>
  <sheetData>
    <row r="1" spans="1:5" x14ac:dyDescent="0.45">
      <c r="A1" t="s">
        <v>0</v>
      </c>
      <c r="B1" t="s">
        <v>1</v>
      </c>
      <c r="D1" t="s">
        <v>2</v>
      </c>
    </row>
    <row r="2" spans="1:5" x14ac:dyDescent="0.45">
      <c r="A2" t="s">
        <v>3</v>
      </c>
      <c r="B2">
        <v>51</v>
      </c>
      <c r="D2" t="s">
        <v>4</v>
      </c>
      <c r="E2">
        <f>AVERAGE(B2:B13)</f>
        <v>49.416666666666664</v>
      </c>
    </row>
    <row r="3" spans="1:5" x14ac:dyDescent="0.45">
      <c r="A3" t="s">
        <v>5</v>
      </c>
      <c r="B3">
        <v>44</v>
      </c>
      <c r="D3" t="s">
        <v>6</v>
      </c>
      <c r="E3">
        <f>MEDIAN(B2:B13)</f>
        <v>47.5</v>
      </c>
    </row>
    <row r="4" spans="1:5" x14ac:dyDescent="0.45">
      <c r="A4" t="s">
        <v>7</v>
      </c>
      <c r="B4">
        <v>49</v>
      </c>
      <c r="D4" t="s">
        <v>8</v>
      </c>
      <c r="E4">
        <f>_xlfn.MODE.SNGL(B2:B13)</f>
        <v>46</v>
      </c>
    </row>
    <row r="5" spans="1:5" x14ac:dyDescent="0.45">
      <c r="A5" t="s">
        <v>9</v>
      </c>
      <c r="B5">
        <v>46</v>
      </c>
      <c r="D5" t="s">
        <v>10</v>
      </c>
      <c r="E5">
        <f>MAX(B2:B13) - MIN(B2:B13)</f>
        <v>29</v>
      </c>
    </row>
    <row r="6" spans="1:5" x14ac:dyDescent="0.45">
      <c r="A6" t="s">
        <v>11</v>
      </c>
      <c r="B6">
        <v>52</v>
      </c>
      <c r="D6" t="s">
        <v>12</v>
      </c>
      <c r="E6">
        <f>_xlfn.STDEV.S(B2:B13)</f>
        <v>7.6331613054586773</v>
      </c>
    </row>
    <row r="7" spans="1:5" x14ac:dyDescent="0.45">
      <c r="A7" t="s">
        <v>13</v>
      </c>
      <c r="B7">
        <v>47</v>
      </c>
    </row>
    <row r="8" spans="1:5" x14ac:dyDescent="0.45">
      <c r="A8" t="s">
        <v>14</v>
      </c>
      <c r="B8">
        <v>45</v>
      </c>
      <c r="D8" t="s">
        <v>20</v>
      </c>
      <c r="E8">
        <f>_xlfn.STDEV.S(B2,B3,B4,B5,B6,B7,B8,B10,B11,B12,B13)</f>
        <v>2.9076701075853588</v>
      </c>
    </row>
    <row r="9" spans="1:5" x14ac:dyDescent="0.45">
      <c r="A9" t="s">
        <v>15</v>
      </c>
      <c r="B9">
        <v>72</v>
      </c>
    </row>
    <row r="10" spans="1:5" x14ac:dyDescent="0.45">
      <c r="A10" t="s">
        <v>16</v>
      </c>
      <c r="B10">
        <v>43</v>
      </c>
      <c r="D10" t="s">
        <v>26</v>
      </c>
      <c r="E10" t="s">
        <v>27</v>
      </c>
    </row>
    <row r="11" spans="1:5" x14ac:dyDescent="0.45">
      <c r="A11" t="s">
        <v>17</v>
      </c>
      <c r="B11">
        <v>48</v>
      </c>
    </row>
    <row r="12" spans="1:5" x14ac:dyDescent="0.45">
      <c r="A12" t="s">
        <v>18</v>
      </c>
      <c r="B12">
        <v>46</v>
      </c>
    </row>
    <row r="13" spans="1:5" x14ac:dyDescent="0.45">
      <c r="A13" t="s">
        <v>19</v>
      </c>
      <c r="B13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13F40-E5CC-4D72-9143-1D1A05E46434}">
  <dimension ref="A1:B5"/>
  <sheetViews>
    <sheetView tabSelected="1" workbookViewId="0">
      <selection activeCell="H6" sqref="H6"/>
    </sheetView>
  </sheetViews>
  <sheetFormatPr defaultRowHeight="14.25" x14ac:dyDescent="0.45"/>
  <cols>
    <col min="1" max="1" width="23.33203125" customWidth="1"/>
    <col min="2" max="2" width="11.73046875" customWidth="1"/>
  </cols>
  <sheetData>
    <row r="1" spans="1:2" x14ac:dyDescent="0.45">
      <c r="A1" t="s">
        <v>21</v>
      </c>
      <c r="B1" t="s">
        <v>25</v>
      </c>
    </row>
    <row r="2" spans="1:2" x14ac:dyDescent="0.45">
      <c r="A2" t="s">
        <v>28</v>
      </c>
      <c r="B2" t="s">
        <v>29</v>
      </c>
    </row>
    <row r="3" spans="1:2" x14ac:dyDescent="0.45">
      <c r="A3" t="s">
        <v>24</v>
      </c>
      <c r="B3" t="s">
        <v>30</v>
      </c>
    </row>
    <row r="4" spans="1:2" x14ac:dyDescent="0.45">
      <c r="A4" t="s">
        <v>22</v>
      </c>
      <c r="B4" t="s">
        <v>31</v>
      </c>
    </row>
    <row r="5" spans="1:2" x14ac:dyDescent="0.45">
      <c r="A5" t="s">
        <v>23</v>
      </c>
      <c r="B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Store_Data</vt:lpstr>
      <vt:lpstr>Store_Summary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sharleen guerrero</cp:lastModifiedBy>
  <cp:revision/>
  <dcterms:created xsi:type="dcterms:W3CDTF">2026-03-26T21:04:43Z</dcterms:created>
  <dcterms:modified xsi:type="dcterms:W3CDTF">2026-03-26T23:03:47Z</dcterms:modified>
  <cp:category/>
  <cp:contentStatus/>
</cp:coreProperties>
</file>