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13_ncr:1_{B9ECA76C-0540-41D5-BE70-8D71891E0579}" xr6:coauthVersionLast="47" xr6:coauthVersionMax="47" xr10:uidLastSave="{00000000-0000-0000-0000-000000000000}"/>
  <bookViews>
    <workbookView xWindow="10718" yWindow="0" windowWidth="10965" windowHeight="12863" activeTab="2" xr2:uid="{AE38E03E-4F44-4DA5-9421-0CE40670CFCD}"/>
  </bookViews>
  <sheets>
    <sheet name="by search term" sheetId="1" r:id="rId1"/>
    <sheet name="by state" sheetId="2" r:id="rId2"/>
    <sheet name="sales region lookup" sheetId="4" r:id="rId3"/>
  </sheets>
  <definedNames>
    <definedName name="_xlnm._FilterDatabase" localSheetId="0" hidden="1">'by search term'!$A$1:$E$52</definedName>
  </definedName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5" i="4"/>
  <c r="D11" i="4" a="1"/>
  <c r="D11" i="4" s="1"/>
  <c r="D2" i="4"/>
  <c r="D3" i="4"/>
  <c r="D4" i="4"/>
  <c r="D7" i="4"/>
  <c r="D8" i="4"/>
  <c r="D9" i="4"/>
  <c r="D10" i="4"/>
  <c r="C3" i="4"/>
  <c r="C4" i="4"/>
  <c r="C5" i="4"/>
  <c r="C6" i="4"/>
  <c r="C7" i="4"/>
  <c r="C8" i="4"/>
  <c r="C9" i="4"/>
  <c r="C10" i="4"/>
  <c r="C11" i="4"/>
  <c r="C2" i="4"/>
  <c r="H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<sst xmlns="http://schemas.openxmlformats.org/spreadsheetml/2006/main" count="154" uniqueCount="69">
  <si>
    <t>Region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</si>
  <si>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</si>
  <si>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</si>
  <si>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</si>
  <si>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</si>
  <si>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</si>
  <si>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</si>
  <si>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</si>
  <si>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</si>
  <si>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</si>
  <si>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</si>
  <si>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</si>
  <si>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</si>
  <si>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</si>
  <si>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</si>
  <si>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</si>
  <si>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</si>
  <si>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</si>
  <si>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</si>
  <si>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</si>
  <si>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</si>
  <si>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</si>
  <si>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</si>
  <si>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</si>
  <si>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</si>
  <si>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</si>
  <si>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</si>
  <si>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</si>
  <si>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</si>
  <si>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</si>
  <si>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</si>
  <si>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</si>
  <si>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</si>
  <si>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</si>
  <si>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</si>
  <si>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</si>
  <si>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</si>
  <si>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</si>
  <si>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</si>
  <si>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</si>
  <si>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</si>
  <si>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</si>
  <si>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</si>
  <si>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</si>
  <si>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</si>
  <si>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</si>
  <si>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</si>
  <si>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</si>
  <si>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</si>
  <si>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</si>
  <si>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</si>
  <si>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</si>
  <si>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</si>
  <si>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</si>
  <si>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</si>
  <si>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</si>
  <si>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</si>
  <si>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</si>
  <si>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</si>
  <si>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 xml:space="preserve"> Michigan</t>
  </si>
  <si>
    <t>State</t>
  </si>
  <si>
    <t>Sales Region</t>
  </si>
  <si>
    <t>Northwest</t>
  </si>
  <si>
    <t>North Central</t>
  </si>
  <si>
    <t>Row Labels</t>
  </si>
  <si>
    <t>Grand Total</t>
  </si>
  <si>
    <t>(All)</t>
  </si>
  <si>
    <t>Sum of Milkshake</t>
  </si>
  <si>
    <t>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</si>
</sst>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" fillId="3" borderId="0" xfId="1" applyFill="1"/>
    <xf numFmtId="0" fontId="0" fillId="4" borderId="0" xfId="0" applyFill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40% - Accent1" xfId="1" builtinId="31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 Michigan</c:v>
                </c:pt>
                <c:pt idx="1">
                  <c:v>Idaho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0.65</c:v>
                </c:pt>
                <c:pt idx="1">
                  <c:v>0.67</c:v>
                </c:pt>
                <c:pt idx="2">
                  <c:v>0.67</c:v>
                </c:pt>
                <c:pt idx="3">
                  <c:v>0.74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2-4910-BB87-91F804DD057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 Michigan</c:v>
                </c:pt>
                <c:pt idx="1">
                  <c:v>Idaho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0.19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2-4910-BB87-91F804DD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629216"/>
        <c:axId val="454628736"/>
      </c:barChart>
      <c:catAx>
        <c:axId val="4546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628736"/>
        <c:crosses val="autoZero"/>
        <c:auto val="1"/>
        <c:lblAlgn val="ctr"/>
        <c:lblOffset val="100"/>
        <c:noMultiLvlLbl val="0"/>
      </c:catAx>
      <c:valAx>
        <c:axId val="4546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62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104781</xdr:colOff>
      <xdr:row>0</xdr:row>
      <xdr:rowOff>157163</xdr:rowOff>
    </xdr:from>
    <xdr:to>
      <xdr:col>10</xdr:col>
      <xdr:colOff>471488</xdr:colOff>
      <xdr:row>17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0BE92-D394-846A-047D-CAD360341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leen Guerro" refreshedDate="46121.883040277775" createdVersion="8" refreshedVersion="8" minRefreshableVersion="3" recordCount="10" xr:uid="{D6BDAA08-3174-4C4E-B599-0AC13FD775A4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 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19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69"/>
    <n v="0.19"/>
  </r>
  <r>
    <x v="7"/>
    <x v="1"/>
    <n v="0.67"/>
    <n v="0.19"/>
  </r>
  <r>
    <x v="8"/>
    <x v="1"/>
    <n v="0.67"/>
    <n v="0.2"/>
  </r>
  <r>
    <x v="9"/>
    <x v="1"/>
    <n v="0.65"/>
    <n v="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9F134-A9AD-43FE-9E96-9E8A895D103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:C26" firstHeaderRow="0" firstDataRow="1" firstDataCol="1" rowPageCount="1" colPageCount="1"/>
  <pivotFields count="4">
    <pivotField axis="axisRow" showAll="0">
      <items count="11">
        <item x="9"/>
        <item x="2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5736-4A6D-47A6-BFD7-BB3ED8C06CD4}">
  <dimension ref="A1:K52"/>
  <sheetViews>
    <sheetView workbookViewId="0">
      <pane ySplit="1" topLeftCell="A19" activePane="bottomLeft" state="frozen"/>
      <selection pane="bottomLeft" activeCell="C35" sqref="C35"/>
    </sheetView>
  </sheetViews>
  <sheetFormatPr defaultRowHeight="14.25" x14ac:dyDescent="0.45"/>
  <cols>
    <col min="2" max="2" width="16.19921875" customWidth="1"/>
    <col min="3" max="4" width="10.1328125" customWidth="1"/>
    <col min="5" max="5" width="8.53125" customWidth="1"/>
    <col min="7" max="7" width="10.06640625" customWidth="1"/>
    <col min="11" max="11" width="14.1328125" customWidth="1"/>
  </cols>
  <sheetData>
    <row r="1" spans="1:11" x14ac:dyDescent="0.4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45">
      <c r="A2">
        <v>1</v>
      </c>
      <c r="B2" t="s">
        <v>10</v>
      </c>
      <c r="C2" s="1">
        <v>0.65</v>
      </c>
      <c r="D2" s="1">
        <v>0.22</v>
      </c>
      <c r="E2" s="1">
        <v>0.13</v>
      </c>
    </row>
    <row r="3" spans="1:11" x14ac:dyDescent="0.4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45">
      <c r="A4">
        <v>3</v>
      </c>
      <c r="B4" t="s">
        <v>12</v>
      </c>
      <c r="C4" s="1">
        <v>0.65</v>
      </c>
      <c r="D4" s="1">
        <v>0.21</v>
      </c>
      <c r="E4" s="1">
        <v>0.14000000000000001</v>
      </c>
    </row>
    <row r="5" spans="1:11" x14ac:dyDescent="0.45">
      <c r="A5">
        <v>4</v>
      </c>
      <c r="B5" t="s">
        <v>14</v>
      </c>
      <c r="C5" s="1">
        <v>0.68</v>
      </c>
      <c r="D5" s="1">
        <v>0.2</v>
      </c>
      <c r="E5" s="1">
        <v>0.12</v>
      </c>
    </row>
    <row r="6" spans="1:11" x14ac:dyDescent="0.45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11" x14ac:dyDescent="0.45">
      <c r="A7">
        <v>6</v>
      </c>
      <c r="B7" t="s">
        <v>42</v>
      </c>
      <c r="C7" s="1">
        <v>0.67</v>
      </c>
      <c r="D7" s="1">
        <v>0.18</v>
      </c>
      <c r="E7" s="1">
        <v>0.15</v>
      </c>
    </row>
    <row r="8" spans="1:11" x14ac:dyDescent="0.45">
      <c r="A8">
        <v>7</v>
      </c>
      <c r="B8" t="s">
        <v>27</v>
      </c>
      <c r="C8" s="1">
        <v>0.64</v>
      </c>
      <c r="D8" s="1">
        <v>0.22</v>
      </c>
      <c r="E8" s="1">
        <v>0.14000000000000001</v>
      </c>
    </row>
    <row r="9" spans="1:11" x14ac:dyDescent="0.45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11" x14ac:dyDescent="0.4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4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45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45">
      <c r="A13">
        <v>12</v>
      </c>
      <c r="B13" t="s">
        <v>50</v>
      </c>
      <c r="C13" s="1">
        <v>0.73</v>
      </c>
      <c r="D13" s="1">
        <v>0.13</v>
      </c>
      <c r="E13" s="1">
        <v>0.14000000000000001</v>
      </c>
    </row>
    <row r="14" spans="1:11" x14ac:dyDescent="0.4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45">
      <c r="A15">
        <v>14</v>
      </c>
      <c r="B15" t="s">
        <v>5</v>
      </c>
      <c r="C15" s="1">
        <v>0.62</v>
      </c>
      <c r="D15" s="1">
        <v>0.24</v>
      </c>
      <c r="E15" s="1">
        <v>0.14000000000000001</v>
      </c>
    </row>
    <row r="16" spans="1:11" x14ac:dyDescent="0.45">
      <c r="A16">
        <v>15</v>
      </c>
      <c r="B16" t="s">
        <v>13</v>
      </c>
      <c r="C16" s="1">
        <v>0.63</v>
      </c>
      <c r="D16" s="1">
        <v>0.23</v>
      </c>
      <c r="E16" s="1">
        <v>0.14000000000000001</v>
      </c>
    </row>
    <row r="17" spans="1:5" x14ac:dyDescent="0.45">
      <c r="A17">
        <v>16</v>
      </c>
      <c r="B17" t="s">
        <v>32</v>
      </c>
      <c r="C17" s="1">
        <v>0.68</v>
      </c>
      <c r="D17" s="1">
        <v>0.19</v>
      </c>
      <c r="E17" s="1">
        <v>0.13</v>
      </c>
    </row>
    <row r="18" spans="1:5" x14ac:dyDescent="0.4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45">
      <c r="A19">
        <v>18</v>
      </c>
      <c r="B19" t="s">
        <v>6</v>
      </c>
      <c r="C19" s="1">
        <v>0.65</v>
      </c>
      <c r="D19" s="1">
        <v>0.23</v>
      </c>
      <c r="E19" s="1">
        <v>0.12</v>
      </c>
    </row>
    <row r="20" spans="1:5" x14ac:dyDescent="0.45">
      <c r="A20">
        <v>19</v>
      </c>
      <c r="B20" t="s">
        <v>33</v>
      </c>
      <c r="C20" s="1">
        <v>0.68</v>
      </c>
      <c r="D20" s="1">
        <v>0.19</v>
      </c>
      <c r="E20" s="1">
        <v>0.13</v>
      </c>
    </row>
    <row r="21" spans="1:5" x14ac:dyDescent="0.45">
      <c r="A21">
        <v>20</v>
      </c>
      <c r="B21" t="s">
        <v>45</v>
      </c>
      <c r="C21" s="1">
        <v>0.7</v>
      </c>
      <c r="D21" s="1">
        <v>0.18</v>
      </c>
      <c r="E21" s="1">
        <v>0.12</v>
      </c>
    </row>
    <row r="22" spans="1:5" x14ac:dyDescent="0.45">
      <c r="A22">
        <v>21</v>
      </c>
      <c r="B22" t="s">
        <v>21</v>
      </c>
      <c r="C22" s="1">
        <v>0.63</v>
      </c>
      <c r="D22" s="1">
        <v>0.22</v>
      </c>
      <c r="E22" s="1">
        <v>0.15</v>
      </c>
    </row>
    <row r="23" spans="1:5" x14ac:dyDescent="0.45">
      <c r="A23">
        <v>22</v>
      </c>
      <c r="B23" t="s">
        <v>40</v>
      </c>
      <c r="C23" s="1">
        <v>0.61</v>
      </c>
      <c r="D23" s="1">
        <v>0.22</v>
      </c>
      <c r="E23" s="1">
        <v>0.17</v>
      </c>
    </row>
    <row r="24" spans="1:5" x14ac:dyDescent="0.45">
      <c r="A24">
        <v>23</v>
      </c>
      <c r="B24" t="s">
        <v>22</v>
      </c>
      <c r="C24" s="1">
        <v>0.65</v>
      </c>
      <c r="D24" s="1">
        <v>0.21</v>
      </c>
      <c r="E24" s="1">
        <v>0.14000000000000001</v>
      </c>
    </row>
    <row r="25" spans="1:5" x14ac:dyDescent="0.45">
      <c r="A25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45">
      <c r="A26">
        <v>25</v>
      </c>
      <c r="B26" t="s">
        <v>26</v>
      </c>
      <c r="C26" s="1">
        <v>0.7</v>
      </c>
      <c r="D26" s="1">
        <v>0.19</v>
      </c>
      <c r="E26" s="1">
        <v>0.11</v>
      </c>
    </row>
    <row r="27" spans="1:5" x14ac:dyDescent="0.45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45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45">
      <c r="A29">
        <v>28</v>
      </c>
      <c r="B29" t="s">
        <v>31</v>
      </c>
      <c r="C29" s="1">
        <v>0.69</v>
      </c>
      <c r="D29" s="1">
        <v>0.19</v>
      </c>
      <c r="E29" s="1">
        <v>0.12</v>
      </c>
    </row>
    <row r="30" spans="1:5" x14ac:dyDescent="0.45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45">
      <c r="A31">
        <v>30</v>
      </c>
      <c r="B31" t="s">
        <v>38</v>
      </c>
      <c r="C31" s="1">
        <v>0.67</v>
      </c>
      <c r="D31" s="1">
        <v>0.2</v>
      </c>
      <c r="E31" s="1">
        <v>0.13</v>
      </c>
    </row>
    <row r="32" spans="1:5" x14ac:dyDescent="0.45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45">
      <c r="A33">
        <v>32</v>
      </c>
      <c r="B33" t="s">
        <v>41</v>
      </c>
      <c r="C33" s="1">
        <v>0.67</v>
      </c>
      <c r="D33" s="1">
        <v>0.18</v>
      </c>
      <c r="E33" s="1">
        <v>0.15</v>
      </c>
    </row>
    <row r="34" spans="1:5" x14ac:dyDescent="0.45">
      <c r="A34">
        <v>33</v>
      </c>
      <c r="B34" t="s">
        <v>37</v>
      </c>
      <c r="C34" s="1">
        <v>0.64</v>
      </c>
      <c r="D34" s="1">
        <v>0.21</v>
      </c>
      <c r="E34" s="1">
        <v>0.15</v>
      </c>
    </row>
    <row r="35" spans="1:5" x14ac:dyDescent="0.4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4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45">
      <c r="A37">
        <v>36</v>
      </c>
      <c r="B37" t="s">
        <v>28</v>
      </c>
      <c r="C37" s="1">
        <v>0.65</v>
      </c>
      <c r="D37" s="1">
        <v>0.21</v>
      </c>
      <c r="E37" s="1">
        <v>0.14000000000000001</v>
      </c>
    </row>
    <row r="38" spans="1:5" x14ac:dyDescent="0.4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45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45">
      <c r="A40">
        <v>39</v>
      </c>
      <c r="B40" t="s">
        <v>19</v>
      </c>
      <c r="C40" s="1">
        <v>0.61</v>
      </c>
      <c r="D40" s="1">
        <v>0.22</v>
      </c>
      <c r="E40" s="1">
        <v>0.17</v>
      </c>
    </row>
    <row r="41" spans="1:5" x14ac:dyDescent="0.4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45">
      <c r="A42">
        <v>41</v>
      </c>
      <c r="B42" t="s">
        <v>1</v>
      </c>
      <c r="C42" s="1">
        <v>0.65</v>
      </c>
      <c r="D42" s="1">
        <v>0.24</v>
      </c>
      <c r="E42" s="1">
        <v>0.11</v>
      </c>
    </row>
    <row r="43" spans="1:5" x14ac:dyDescent="0.4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45">
      <c r="A44">
        <v>43</v>
      </c>
      <c r="B44" t="s">
        <v>3</v>
      </c>
      <c r="C44" s="1">
        <v>0.66</v>
      </c>
      <c r="D44" s="1">
        <v>0.22</v>
      </c>
      <c r="E44" s="1">
        <v>0.12</v>
      </c>
    </row>
    <row r="45" spans="1:5" x14ac:dyDescent="0.45">
      <c r="A45">
        <v>44</v>
      </c>
      <c r="B45" t="s">
        <v>20</v>
      </c>
      <c r="C45" s="1">
        <v>0.66</v>
      </c>
      <c r="D45" s="1">
        <v>0.21</v>
      </c>
      <c r="E45" s="1">
        <v>0.13</v>
      </c>
    </row>
    <row r="46" spans="1:5" x14ac:dyDescent="0.4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4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45">
      <c r="A48">
        <v>47</v>
      </c>
      <c r="B48" t="s">
        <v>8</v>
      </c>
      <c r="C48" s="1">
        <v>0.62</v>
      </c>
      <c r="D48" s="1">
        <v>0.25</v>
      </c>
      <c r="E48" s="1">
        <v>0.13</v>
      </c>
    </row>
    <row r="49" spans="1:5" x14ac:dyDescent="0.4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45">
      <c r="A50">
        <v>49</v>
      </c>
      <c r="B50" t="s">
        <v>4</v>
      </c>
      <c r="C50" s="1">
        <v>0.62</v>
      </c>
      <c r="D50" s="1">
        <v>0.25</v>
      </c>
      <c r="E50" s="1">
        <v>0.13</v>
      </c>
    </row>
    <row r="51" spans="1:5" x14ac:dyDescent="0.45">
      <c r="A51">
        <v>50</v>
      </c>
      <c r="B51" t="s">
        <v>29</v>
      </c>
      <c r="C51" s="1">
        <v>0.67</v>
      </c>
      <c r="D51" s="1">
        <v>0.2</v>
      </c>
      <c r="E51" s="1">
        <v>0.13</v>
      </c>
    </row>
    <row r="52" spans="1:5" x14ac:dyDescent="0.4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071A5736-4A6D-47A6-BFD7-BB3ED8C06CD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F041-A15A-4FCC-B235-C4699F75887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25" x14ac:dyDescent="0.45"/>
  <cols>
    <col min="1" max="1" width="9.59765625" customWidth="1"/>
  </cols>
  <sheetData>
    <row r="1" spans="1:52" x14ac:dyDescent="0.45">
      <c r="A1" t="s">
        <v>0</v>
      </c>
      <c r="B1" t="s">
        <v>10</v>
      </c>
      <c r="C1" t="s">
        <v>49</v>
      </c>
      <c r="D1" t="s">
        <v>12</v>
      </c>
      <c r="E1" t="s">
        <v>14</v>
      </c>
      <c r="F1" t="s">
        <v>34</v>
      </c>
      <c r="G1" t="s">
        <v>42</v>
      </c>
      <c r="H1" t="s">
        <v>27</v>
      </c>
      <c r="I1" t="s">
        <v>16</v>
      </c>
      <c r="J1" t="s">
        <v>51</v>
      </c>
      <c r="K1" t="s">
        <v>18</v>
      </c>
      <c r="L1" t="s">
        <v>7</v>
      </c>
      <c r="M1" t="s">
        <v>50</v>
      </c>
      <c r="N1" t="s">
        <v>30</v>
      </c>
      <c r="O1" t="s">
        <v>5</v>
      </c>
      <c r="P1" t="s">
        <v>13</v>
      </c>
      <c r="Q1" t="s">
        <v>32</v>
      </c>
      <c r="R1" t="s">
        <v>23</v>
      </c>
      <c r="S1" t="s">
        <v>6</v>
      </c>
      <c r="T1" t="s">
        <v>33</v>
      </c>
      <c r="U1" t="s">
        <v>45</v>
      </c>
      <c r="V1" t="s">
        <v>21</v>
      </c>
      <c r="W1" t="s">
        <v>40</v>
      </c>
      <c r="X1" t="s">
        <v>22</v>
      </c>
      <c r="Y1" t="s">
        <v>36</v>
      </c>
      <c r="Z1" t="s">
        <v>26</v>
      </c>
      <c r="AA1" t="s">
        <v>25</v>
      </c>
      <c r="AB1" t="s">
        <v>48</v>
      </c>
      <c r="AC1" t="s">
        <v>31</v>
      </c>
      <c r="AD1" t="s">
        <v>17</v>
      </c>
      <c r="AE1" t="s">
        <v>38</v>
      </c>
      <c r="AF1" t="s">
        <v>24</v>
      </c>
      <c r="AG1" t="s">
        <v>41</v>
      </c>
      <c r="AH1" t="s">
        <v>37</v>
      </c>
      <c r="AI1" t="s">
        <v>2</v>
      </c>
      <c r="AJ1" t="s">
        <v>35</v>
      </c>
      <c r="AK1" t="s">
        <v>28</v>
      </c>
      <c r="AL1" t="s">
        <v>11</v>
      </c>
      <c r="AM1" t="s">
        <v>39</v>
      </c>
      <c r="AN1" t="s">
        <v>19</v>
      </c>
      <c r="AO1" t="s">
        <v>15</v>
      </c>
      <c r="AP1" t="s">
        <v>1</v>
      </c>
      <c r="AQ1" t="s">
        <v>44</v>
      </c>
      <c r="AR1" t="s">
        <v>3</v>
      </c>
      <c r="AS1" t="s">
        <v>20</v>
      </c>
      <c r="AT1" t="s">
        <v>9</v>
      </c>
      <c r="AU1" t="s">
        <v>47</v>
      </c>
      <c r="AV1" t="s">
        <v>8</v>
      </c>
      <c r="AW1" t="s">
        <v>43</v>
      </c>
      <c r="AX1" t="s">
        <v>4</v>
      </c>
      <c r="AY1" t="s">
        <v>29</v>
      </c>
      <c r="AZ1" t="s">
        <v>46</v>
      </c>
    </row>
    <row r="2" spans="1:52" x14ac:dyDescent="0.45">
      <c r="A2" t="s">
        <v>56</v>
      </c>
      <c r="B2" s="1">
        <v>0.65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0.62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0.63</v>
      </c>
      <c r="W2" s="1">
        <v>0.61</v>
      </c>
      <c r="X2" s="1">
        <v>0.65</v>
      </c>
      <c r="Y2" s="1">
        <v>0.67</v>
      </c>
      <c r="Z2" s="1">
        <v>0.7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0.67</v>
      </c>
      <c r="AH2" s="1">
        <v>0.64</v>
      </c>
      <c r="AI2" s="1">
        <v>0.63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0.64</v>
      </c>
      <c r="AP2" s="1">
        <v>0.65</v>
      </c>
      <c r="AQ2" s="1">
        <v>0.76</v>
      </c>
      <c r="AR2" s="1">
        <v>0.66</v>
      </c>
      <c r="AS2" s="1">
        <v>0.66</v>
      </c>
      <c r="AT2" s="1">
        <v>0.65</v>
      </c>
      <c r="AU2" s="1">
        <v>0.69</v>
      </c>
      <c r="AV2" s="1">
        <v>0.62</v>
      </c>
      <c r="AW2" s="1">
        <v>0.68</v>
      </c>
      <c r="AX2" s="1">
        <v>0.62</v>
      </c>
      <c r="AY2" s="1">
        <v>0.67</v>
      </c>
      <c r="AZ2" s="1">
        <v>0.71</v>
      </c>
    </row>
    <row r="3" spans="1:52" x14ac:dyDescent="0.45">
      <c r="A3" t="s">
        <v>57</v>
      </c>
      <c r="B3" s="1">
        <v>0.22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0.13</v>
      </c>
      <c r="N3" s="1">
        <v>0.19</v>
      </c>
      <c r="O3" s="1">
        <v>0.24</v>
      </c>
      <c r="P3" s="1">
        <v>0.23</v>
      </c>
      <c r="Q3" s="1">
        <v>0.19</v>
      </c>
      <c r="R3" s="1">
        <v>0.19</v>
      </c>
      <c r="S3" s="1">
        <v>0.23</v>
      </c>
      <c r="T3" s="1">
        <v>0.19</v>
      </c>
      <c r="U3" s="1">
        <v>0.18</v>
      </c>
      <c r="V3" s="1">
        <v>0.22</v>
      </c>
      <c r="W3" s="1">
        <v>0.22</v>
      </c>
      <c r="X3" s="1">
        <v>0.21</v>
      </c>
      <c r="Y3" s="1">
        <v>0.19</v>
      </c>
      <c r="Z3" s="1">
        <v>0.19</v>
      </c>
      <c r="AA3" s="1">
        <v>0.19</v>
      </c>
      <c r="AB3" s="1">
        <v>0.14000000000000001</v>
      </c>
      <c r="AC3" s="1">
        <v>0.19</v>
      </c>
      <c r="AD3" s="1">
        <v>0.2</v>
      </c>
      <c r="AE3" s="1">
        <v>0.2</v>
      </c>
      <c r="AF3" s="1">
        <v>0.23</v>
      </c>
      <c r="AG3" s="1">
        <v>0.18</v>
      </c>
      <c r="AH3" s="1">
        <v>0.21</v>
      </c>
      <c r="AI3" s="1">
        <v>0.24</v>
      </c>
      <c r="AJ3" s="1">
        <v>0.19</v>
      </c>
      <c r="AK3" s="1">
        <v>0.21</v>
      </c>
      <c r="AL3" s="1">
        <v>0.19</v>
      </c>
      <c r="AM3" s="1">
        <v>0.18</v>
      </c>
      <c r="AN3" s="1">
        <v>0.22</v>
      </c>
      <c r="AO3" s="1">
        <v>0.23</v>
      </c>
      <c r="AP3" s="1">
        <v>0.24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0.25</v>
      </c>
      <c r="AW3" s="1">
        <v>0.18</v>
      </c>
      <c r="AX3" s="1">
        <v>0.25</v>
      </c>
      <c r="AY3" s="1">
        <v>0.2</v>
      </c>
      <c r="AZ3" s="1">
        <v>0.16</v>
      </c>
    </row>
    <row r="4" spans="1:52" x14ac:dyDescent="0.45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0.14000000000000001</v>
      </c>
      <c r="N4" s="1">
        <v>0.14000000000000001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0.12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0.15</v>
      </c>
      <c r="AH4" s="1">
        <v>0.15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0.13</v>
      </c>
      <c r="AN4" s="1">
        <v>0.17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85A6-827B-46C3-ACD9-CA5CDEC271FE}">
  <dimension ref="A1:D26"/>
  <sheetViews>
    <sheetView tabSelected="1" workbookViewId="0">
      <selection activeCell="H26" sqref="H26"/>
    </sheetView>
  </sheetViews>
  <sheetFormatPr defaultRowHeight="14.25" x14ac:dyDescent="0.45"/>
  <cols>
    <col min="1" max="1" width="11.9296875" bestFit="1" customWidth="1"/>
    <col min="2" max="2" width="15.59765625" bestFit="1" customWidth="1"/>
    <col min="3" max="3" width="14.73046875" bestFit="1" customWidth="1"/>
  </cols>
  <sheetData>
    <row r="1" spans="1:4" x14ac:dyDescent="0.45">
      <c r="A1" t="s">
        <v>60</v>
      </c>
      <c r="B1" t="s">
        <v>61</v>
      </c>
      <c r="C1" t="s">
        <v>56</v>
      </c>
      <c r="D1" t="s">
        <v>57</v>
      </c>
    </row>
    <row r="2" spans="1:4" x14ac:dyDescent="0.45">
      <c r="A2" t="s">
        <v>43</v>
      </c>
      <c r="B2" t="s">
        <v>62</v>
      </c>
      <c r="C2" s="4">
        <f>VLOOKUP(TRIM('sales region lookup'!A2), 'by search term'!B:C, 2, FALSE)</f>
        <v>0.68</v>
      </c>
      <c r="D2" s="4">
        <f>_xlfn.XLOOKUP(A2, 'by search term'!B1:B52, 'by search term'!D1:D52, "not found")</f>
        <v>0.18</v>
      </c>
    </row>
    <row r="3" spans="1:4" x14ac:dyDescent="0.45">
      <c r="A3" t="s">
        <v>39</v>
      </c>
      <c r="B3" t="s">
        <v>62</v>
      </c>
      <c r="C3" s="4">
        <f>VLOOKUP(TRIM('sales region lookup'!A3), 'by search term'!B:C, 2, FALSE)</f>
        <v>0.69</v>
      </c>
      <c r="D3" s="4">
        <f>_xlfn.XLOOKUP(A3, 'by search term'!B2:B53, 'by search term'!D2:D53, "not found")</f>
        <v>0.18</v>
      </c>
    </row>
    <row r="4" spans="1:4" x14ac:dyDescent="0.45">
      <c r="A4" t="s">
        <v>30</v>
      </c>
      <c r="B4" t="s">
        <v>62</v>
      </c>
      <c r="C4" s="4">
        <f>VLOOKUP(TRIM('sales region lookup'!A4), 'by search term'!B:C, 2, FALSE)</f>
        <v>0.67</v>
      </c>
      <c r="D4" s="4">
        <f>_xlfn.XLOOKUP(A4, 'by search term'!B3:B54, 'by search term'!D3:D54, "not found")</f>
        <v>0.19</v>
      </c>
    </row>
    <row r="5" spans="1:4" x14ac:dyDescent="0.45">
      <c r="A5" t="s">
        <v>48</v>
      </c>
      <c r="B5" t="s">
        <v>62</v>
      </c>
      <c r="C5" s="4">
        <f>VLOOKUP(TRIM('sales region lookup'!A5), 'by search term'!B:C, 2, FALSE)</f>
        <v>0.74</v>
      </c>
      <c r="D5" s="4">
        <f>_xlfn.XLOOKUP(A5, 'by search term'!B4:B55, 'by search term'!D4:D55, "not found")</f>
        <v>0.14000000000000001</v>
      </c>
    </row>
    <row r="6" spans="1:4" x14ac:dyDescent="0.45">
      <c r="A6" t="s">
        <v>35</v>
      </c>
      <c r="B6" t="s">
        <v>63</v>
      </c>
      <c r="C6" s="4">
        <f>VLOOKUP(TRIM('sales region lookup'!A6), 'by search term'!B:C, 2, FALSE)</f>
        <v>0.69</v>
      </c>
      <c r="D6" s="4">
        <f>_xlfn.XLOOKUP(A6, 'by search term'!B5:B56, 'by search term'!D5:D56, "not found")</f>
        <v>0.19</v>
      </c>
    </row>
    <row r="7" spans="1:4" x14ac:dyDescent="0.45">
      <c r="A7" t="s">
        <v>44</v>
      </c>
      <c r="B7" t="s">
        <v>63</v>
      </c>
      <c r="C7" s="4">
        <f>VLOOKUP(TRIM('sales region lookup'!A7),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45">
      <c r="A8" t="s">
        <v>31</v>
      </c>
      <c r="B8" t="s">
        <v>63</v>
      </c>
      <c r="C8" s="4">
        <f>VLOOKUP(TRIM('sales region lookup'!A8), 'by search term'!B:C, 2, FALSE)</f>
        <v>0.69</v>
      </c>
      <c r="D8" s="4">
        <f>_xlfn.XLOOKUP(A8, 'by search term'!B7:B58, 'by search term'!D7:D58, "not found")</f>
        <v>0.19</v>
      </c>
    </row>
    <row r="9" spans="1:4" x14ac:dyDescent="0.45">
      <c r="A9" t="s">
        <v>36</v>
      </c>
      <c r="B9" t="s">
        <v>63</v>
      </c>
      <c r="C9" s="4">
        <f>VLOOKUP(TRIM('sales region lookup'!A9), 'by search term'!B:C, 2, FALSE)</f>
        <v>0.67</v>
      </c>
      <c r="D9" s="4">
        <f>_xlfn.XLOOKUP(A9, 'by search term'!B8:B59, 'by search term'!D8:D59, "not found")</f>
        <v>0.19</v>
      </c>
    </row>
    <row r="10" spans="1:4" x14ac:dyDescent="0.45">
      <c r="A10" t="s">
        <v>29</v>
      </c>
      <c r="B10" t="s">
        <v>63</v>
      </c>
      <c r="C10" s="4">
        <f>VLOOKUP(TRIM('sales region lookup'!A10), 'by search term'!B:C, 2, FALSE)</f>
        <v>0.67</v>
      </c>
      <c r="D10" s="4">
        <f>_xlfn.XLOOKUP(A10, 'by search term'!B9:B60, 'by search term'!D9:D60, "not found")</f>
        <v>0.2</v>
      </c>
    </row>
    <row r="11" spans="1:4" x14ac:dyDescent="0.45">
      <c r="A11" t="s">
        <v>59</v>
      </c>
      <c r="B11" t="s">
        <v>63</v>
      </c>
      <c r="C11" s="4">
        <f>VLOOKUP(TRIM('sales region lookup'!A11), 'by search term'!B:C, 2, FALSE)</f>
        <v>0.65</v>
      </c>
      <c r="D11" s="4" cm="1">
        <f t="array" ref="D11">_xlfn.XLOOKUP(TRIM(A2), TRIM('by search term'!B1:B52), 'by search term'!D1:D52, "not found")</f>
        <v>0.18</v>
      </c>
    </row>
    <row r="13" spans="1:4" x14ac:dyDescent="0.45">
      <c r="A13" s="5" t="s">
        <v>61</v>
      </c>
      <c r="B13" t="s">
        <v>66</v>
      </c>
    </row>
    <row r="15" spans="1:4" x14ac:dyDescent="0.45">
      <c r="A15" s="5" t="s">
        <v>64</v>
      </c>
      <c r="B15" t="s">
        <v>68</v>
      </c>
      <c r="C15" t="s">
        <v>67</v>
      </c>
    </row>
    <row r="16" spans="1:4" x14ac:dyDescent="0.45">
      <c r="A16" s="6" t="s">
        <v>59</v>
      </c>
      <c r="B16" s="1">
        <v>0.65</v>
      </c>
      <c r="C16" s="1">
        <v>0.18</v>
      </c>
    </row>
    <row r="17" spans="1:3" x14ac:dyDescent="0.45">
      <c r="A17" s="6" t="s">
        <v>30</v>
      </c>
      <c r="B17" s="1">
        <v>0.67</v>
      </c>
      <c r="C17" s="1">
        <v>0.19</v>
      </c>
    </row>
    <row r="18" spans="1:3" x14ac:dyDescent="0.45">
      <c r="A18" s="6" t="s">
        <v>36</v>
      </c>
      <c r="B18" s="1">
        <v>0.67</v>
      </c>
      <c r="C18" s="1">
        <v>0.19</v>
      </c>
    </row>
    <row r="19" spans="1:3" x14ac:dyDescent="0.45">
      <c r="A19" s="6" t="s">
        <v>48</v>
      </c>
      <c r="B19" s="1">
        <v>0.74</v>
      </c>
      <c r="C19" s="1">
        <v>0.14000000000000001</v>
      </c>
    </row>
    <row r="20" spans="1:3" x14ac:dyDescent="0.45">
      <c r="A20" s="6" t="s">
        <v>31</v>
      </c>
      <c r="B20" s="1">
        <v>0.69</v>
      </c>
      <c r="C20" s="1">
        <v>0.19</v>
      </c>
    </row>
    <row r="21" spans="1:3" x14ac:dyDescent="0.45">
      <c r="A21" s="6" t="s">
        <v>35</v>
      </c>
      <c r="B21" s="1">
        <v>0.69</v>
      </c>
      <c r="C21" s="1">
        <v>0.19</v>
      </c>
    </row>
    <row r="22" spans="1:3" x14ac:dyDescent="0.45">
      <c r="A22" s="6" t="s">
        <v>39</v>
      </c>
      <c r="B22" s="1">
        <v>0.69</v>
      </c>
      <c r="C22" s="1">
        <v>0.18</v>
      </c>
    </row>
    <row r="23" spans="1:3" x14ac:dyDescent="0.45">
      <c r="A23" s="6" t="s">
        <v>44</v>
      </c>
      <c r="B23" s="1">
        <v>0.76</v>
      </c>
      <c r="C23" s="1">
        <v>0.14000000000000001</v>
      </c>
    </row>
    <row r="24" spans="1:3" x14ac:dyDescent="0.45">
      <c r="A24" s="6" t="s">
        <v>43</v>
      </c>
      <c r="B24" s="1">
        <v>0.68</v>
      </c>
      <c r="C24" s="1">
        <v>0.18</v>
      </c>
    </row>
    <row r="25" spans="1:3" x14ac:dyDescent="0.45">
      <c r="A25" s="6" t="s">
        <v>29</v>
      </c>
      <c r="B25" s="1">
        <v>0.67</v>
      </c>
      <c r="C25" s="1">
        <v>0.2</v>
      </c>
    </row>
    <row r="26" spans="1:3" x14ac:dyDescent="0.45">
      <c r="A26" s="6" t="s">
        <v>65</v>
      </c>
      <c r="B26" s="1">
        <v>6.91</v>
      </c>
      <c r="C26" s="1">
        <v>1.7799999999999998</v>
      </c>
    </row>
  </sheetData>
  <pageMargins left="0.7" right="0.7" top="0.75" bottom="0.75" header="0.3" footer="0.3"/>
  <ignoredErrors>
    <ignoredError sqref="D4:D1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2026-04-09T02:17:00Z</dcterms:created>
  <dcterms:modified xsi:type="dcterms:W3CDTF">2026-04-10T01:12:54Z</dcterms:modified>
</cp:coreProperties>
</file>