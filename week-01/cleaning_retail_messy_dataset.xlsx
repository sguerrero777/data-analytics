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13_ncr:11_{52B2D473-ACE3-4B18-9B84-F0AA7CA38532}" xr6:coauthVersionLast="47" xr6:coauthVersionMax="47" xr10:uidLastSave="{00000000-0000-0000-0000-000000000000}"/>
  <bookViews>
    <workbookView xWindow="1132" yWindow="765" windowWidth="20025" windowHeight="12060" xr2:uid="{00000000-000D-0000-FFFF-FFFF00000000}"/>
  </bookViews>
  <sheets>
    <sheet name="Raw 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10" i="1"/>
  <c r="Q11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P10" i="1"/>
  <c r="P11" i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2" i="1"/>
  <c r="Q2" i="1" s="1"/>
  <c r="Q102" i="1"/>
  <c r="N1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2" i="1"/>
  <c r="N2" i="1"/>
  <c r="N3" i="1"/>
  <c r="N4" i="1"/>
  <c r="N5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</calcChain>
</file>

<file path=xl/sharedStrings.xml><?xml version="1.0" encoding="utf-8"?>
<sst xmlns="http://schemas.openxmlformats.org/spreadsheetml/2006/main" count="852" uniqueCount="233">
  <si>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</si>
  <si>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</si>
  <si>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</si>
  <si>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</si>
  <si>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</si>
  <si>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</si>
  <si>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</si>
  <si>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</si>
  <si>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</si>
  <si>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</si>
  <si>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</si>
  <si>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</si>
  <si>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</si>
  <si>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</si>
  <si>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</si>
  <si>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</si>
  <si>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</si>
  <si>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</si>
  <si>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</si>
  <si>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</si>
  <si>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</si>
  <si>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</si>
  <si>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</si>
  <si>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</si>
  <si>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</si>
  <si>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</si>
  <si>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</si>
  <si>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</si>
  <si>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</si>
  <si>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</si>
  <si>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</si>
  <si>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</si>
  <si>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</si>
  <si>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</si>
  <si>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</si>
  <si>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</si>
  <si>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</si>
  <si>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</si>
  <si>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</si>
  <si>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</si>
  <si>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</si>
  <si>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</si>
  <si>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</si>
  <si>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</si>
  <si>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</si>
  <si>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</si>
  <si>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</si>
  <si>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</si>
  <si>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</si>
  <si>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</si>
  <si>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</si>
  <si>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</si>
  <si>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</si>
  <si>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</si>
  <si>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</si>
  <si>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</si>
  <si>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</si>
  <si>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</si>
  <si>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</si>
  <si>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</si>
  <si>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</si>
  <si>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</si>
  <si>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</si>
  <si>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</si>
  <si>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</si>
  <si>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</si>
  <si>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</si>
  <si>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</si>
  <si>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</si>
  <si>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</si>
  <si>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</si>
  <si>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</si>
  <si>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</si>
  <si>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</si>
  <si>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</si>
  <si>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</si>
  <si>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</si>
  <si>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</si>
  <si>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</si>
  <si>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</si>
  <si>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</si>
  <si>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</si>
  <si>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</si>
  <si>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</si>
  <si>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</si>
  <si>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</si>
  <si>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</si>
  <si>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</si>
  <si>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</si>
  <si>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</si>
  <si>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</si>
  <si>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</si>
  <si>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</si>
  <si>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</si>
  <si>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</si>
  <si>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</si>
  <si>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</si>
  <si>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</si>
  <si>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</si>
  <si>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</si>
  <si>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</si>
  <si>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</si>
  <si>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</si>
  <si>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</si>
  <si>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</si>
  <si>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</si>
  <si>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</si>
  <si>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</si>
  <si>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</si>
  <si>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</si>
  <si>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</si>
  <si>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</si>
  <si>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</si>
  <si>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</si>
  <si>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</si>
  <si>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</si>
  <si>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</si>
  <si>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</si>
  <si>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</si>
  <si>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</si>
  <si>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</si>
  <si>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</si>
  <si>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</si>
  <si>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</si>
  <si>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</si>
  <si>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</si>
  <si>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</si>
  <si>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</si>
  <si>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</si>
  <si>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</si>
  <si>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</si>
  <si>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</si>
  <si>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</si>
  <si>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</si>
  <si>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</si>
  <si>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</si>
  <si>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</si>
  <si>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</si>
  <si>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</si>
  <si>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</si>
  <si>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</si>
  <si>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</si>
  <si>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</si>
  <si>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</si>
  <si>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</si>
  <si>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</si>
  <si>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</si>
  <si>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</si>
  <si>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</si>
  <si>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</si>
  <si>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</si>
  <si>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</si>
  <si>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</si>
  <si>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</si>
  <si>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</si>
  <si>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</si>
  <si>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</si>
  <si>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</si>
  <si>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</si>
  <si>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</si>
  <si>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</si>
  <si>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</si>
  <si>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</si>
  <si>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</si>
  <si>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</si>
  <si>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</si>
  <si>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</si>
  <si>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</si>
  <si>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</si>
  <si>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</si>
  <si>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</si>
  <si>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</si>
  <si>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</si>
  <si>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</si>
  <si>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</si>
  <si>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</si>
  <si>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</si>
  <si>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</si>
  <si>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</si>
  <si>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</si>
  <si>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</si>
  <si>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</si>
  <si>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</si>
  <si>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</si>
  <si>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</si>
  <si>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</si>
  <si>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</si>
  <si>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</si>
  <si>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</si>
  <si>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</si>
  <si>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</si>
  <si>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</si>
  <si>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</si>
  <si>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</si>
  <si>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</si>
  <si>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</si>
  <si>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</si>
  <si>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</si>
  <si>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</si>
  <si>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</si>
  <si>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</si>
  <si>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</si>
  <si>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</si>
  <si>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</si>
  <si>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</si>
  <si>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</si>
  <si>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</si>
  <si>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</si>
  <si>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</si>
  <si>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</si>
  <si>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</si>
  <si>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</si>
  <si>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</si>
  <si>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</si>
  <si>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</si>
  <si>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</si>
  <si>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</si>
  <si>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</si>
  <si>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</si>
  <si>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</si>
  <si>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</si>
  <si>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</si>
  <si>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</si>
  <si>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</si>
  <si>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</si>
  <si>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</si>
  <si>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Location</t>
  </si>
  <si>
    <t>CleanState</t>
  </si>
  <si>
    <t>Tablet</t>
  </si>
  <si>
    <t>Monitor</t>
  </si>
  <si>
    <t>Laptop</t>
  </si>
  <si>
    <t>Keyboard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</si>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</sst>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K1" workbookViewId="0">
      <selection activeCell="L14" sqref="L14"/>
    </sheetView>
  </sheetViews>
  <sheetFormatPr defaultRowHeight="14.25" x14ac:dyDescent="0.45"/>
  <cols>
    <col min="1" max="1" width="8.1328125" bestFit="1" customWidth="1"/>
    <col min="2" max="2" width="19.1328125" customWidth="1"/>
    <col min="11" max="11" width="24.06640625" customWidth="1"/>
    <col min="12" max="12" width="9.06640625" customWidth="1"/>
    <col min="13" max="13" width="7.9296875" customWidth="1"/>
    <col min="14" max="14" width="15.1328125" customWidth="1"/>
    <col min="17" max="17" width="13.86328125" customWidth="1"/>
    <col min="18" max="18" width="11.265625" customWidth="1"/>
    <col min="23" max="23" width="23.19921875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 t="s">
        <v>0</v>
      </c>
      <c r="N1" s="1" t="s">
        <v>225</v>
      </c>
      <c r="O1" s="1" t="s">
        <v>2</v>
      </c>
      <c r="P1" s="1" t="s">
        <v>227</v>
      </c>
      <c r="Q1" s="1" t="s">
        <v>226</v>
      </c>
      <c r="R1" s="1" t="s">
        <v>5</v>
      </c>
      <c r="S1" s="3" t="s">
        <v>6</v>
      </c>
      <c r="T1" s="1" t="s">
        <v>7</v>
      </c>
      <c r="U1" s="3" t="s">
        <v>8</v>
      </c>
      <c r="V1" t="s">
        <v>9</v>
      </c>
      <c r="W1" t="s">
        <v>10</v>
      </c>
    </row>
    <row r="2" spans="1:23" x14ac:dyDescent="0.4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s="4" t="s">
        <v>16</v>
      </c>
      <c r="K2" t="s">
        <v>17</v>
      </c>
      <c r="M2">
        <v>2001</v>
      </c>
      <c r="N2" t="str">
        <f>PROPER(TRIM(B2))</f>
        <v>Patricia Taylor</v>
      </c>
      <c r="O2" t="str">
        <f>PROPER(C2)</f>
        <v>South</v>
      </c>
      <c r="P2" t="str">
        <f>UPPER(E2)</f>
        <v>IL</v>
      </c>
      <c r="Q2" t="str">
        <f>_xlfn.CONCAT(PROPER(D2),", ",P2)</f>
        <v>Chicago, IL</v>
      </c>
      <c r="R2" t="s">
        <v>231</v>
      </c>
      <c r="S2" s="2">
        <v>89</v>
      </c>
      <c r="T2">
        <v>5</v>
      </c>
      <c r="U2" s="2">
        <v>445</v>
      </c>
      <c r="V2" s="4">
        <v>45323</v>
      </c>
      <c r="W2" t="s">
        <v>17</v>
      </c>
    </row>
    <row r="3" spans="1:23" x14ac:dyDescent="0.45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  <c r="M3">
        <v>2002</v>
      </c>
      <c r="N3" t="str">
        <f>PROPER(TRIM(B3))</f>
        <v>Robert Wilson</v>
      </c>
      <c r="O3" t="str">
        <f>PROPER(C3)</f>
        <v>South</v>
      </c>
      <c r="P3" t="str">
        <f>UPPER(E3)</f>
        <v>TX</v>
      </c>
      <c r="Q3" t="str">
        <f>_xlfn.CONCAT(PROPER(D3),", ",P3)</f>
        <v>San Antonio, TX</v>
      </c>
      <c r="R3" t="s">
        <v>230</v>
      </c>
      <c r="S3" s="2">
        <v>899</v>
      </c>
      <c r="T3">
        <v>3</v>
      </c>
      <c r="U3" s="2">
        <v>2697</v>
      </c>
      <c r="V3" s="4">
        <v>45324</v>
      </c>
      <c r="W3" t="s">
        <v>23</v>
      </c>
    </row>
    <row r="4" spans="1:23" x14ac:dyDescent="0.45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  <c r="M4">
        <v>2003</v>
      </c>
      <c r="N4" t="str">
        <f>PROPER(TRIM(B4))</f>
        <v>Michael Jackson</v>
      </c>
      <c r="O4" t="str">
        <f>PROPER(C4)</f>
        <v>West</v>
      </c>
      <c r="P4" t="str">
        <f>UPPER(E4)</f>
        <v>IL</v>
      </c>
      <c r="Q4" t="str">
        <f>_xlfn.CONCAT(PROPER(D4),", ",P4)</f>
        <v>Chicago, IL</v>
      </c>
      <c r="R4" t="s">
        <v>232</v>
      </c>
      <c r="S4" s="2">
        <v>699</v>
      </c>
      <c r="T4">
        <v>2</v>
      </c>
      <c r="U4" s="2">
        <v>1398</v>
      </c>
      <c r="V4" s="4">
        <v>45325</v>
      </c>
      <c r="W4" t="s">
        <v>28</v>
      </c>
    </row>
    <row r="5" spans="1:23" x14ac:dyDescent="0.45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  <c r="M5">
        <v>2004</v>
      </c>
      <c r="N5" t="str">
        <f>PROPER(TRIM(B5))</f>
        <v>Michael Thomas</v>
      </c>
      <c r="O5" t="str">
        <f>PROPER(C5)</f>
        <v>West</v>
      </c>
      <c r="P5" t="str">
        <f>UPPER(E5)</f>
        <v>CA</v>
      </c>
      <c r="Q5" t="str">
        <f>_xlfn.CONCAT(PROPER(D5),", ",P5)</f>
        <v>San Diego, CA</v>
      </c>
      <c r="R5" t="s">
        <v>230</v>
      </c>
      <c r="S5" s="2">
        <v>899</v>
      </c>
      <c r="T5">
        <v>5</v>
      </c>
      <c r="U5" s="2">
        <v>4495</v>
      </c>
      <c r="V5" s="4">
        <v>45326</v>
      </c>
      <c r="W5" t="s">
        <v>33</v>
      </c>
    </row>
    <row r="6" spans="1:23" x14ac:dyDescent="0.45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  <c r="M6">
        <v>2005</v>
      </c>
      <c r="O6" t="str">
        <f>PROPER(C6)</f>
        <v>West</v>
      </c>
      <c r="P6" t="str">
        <f>UPPER(E6)</f>
        <v>TX</v>
      </c>
      <c r="Q6" t="str">
        <f>_xlfn.CONCAT(PROPER(D6),", ",P6)</f>
        <v>Houston, TX</v>
      </c>
      <c r="R6" t="s">
        <v>231</v>
      </c>
      <c r="S6" s="2">
        <v>89</v>
      </c>
      <c r="T6">
        <v>5</v>
      </c>
      <c r="U6" s="2">
        <v>445</v>
      </c>
      <c r="V6" s="4">
        <v>45327</v>
      </c>
      <c r="W6" t="s">
        <v>37</v>
      </c>
    </row>
    <row r="7" spans="1:23" x14ac:dyDescent="0.45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  <c r="M7">
        <v>2006</v>
      </c>
      <c r="N7" t="str">
        <f>PROPER(TRIM(B7))</f>
        <v>Mary Wilson</v>
      </c>
      <c r="O7" t="str">
        <f>PROPER(C7)</f>
        <v>West</v>
      </c>
      <c r="P7" t="str">
        <f>UPPER(E7)</f>
        <v>TX</v>
      </c>
      <c r="Q7" t="str">
        <f>_xlfn.CONCAT(PROPER(D7),", ",P7)</f>
        <v>Houston, TX</v>
      </c>
      <c r="R7" t="s">
        <v>228</v>
      </c>
      <c r="S7" s="2">
        <v>499</v>
      </c>
      <c r="T7">
        <v>5</v>
      </c>
      <c r="U7" s="2">
        <v>2495</v>
      </c>
      <c r="V7" s="4">
        <v>45328</v>
      </c>
      <c r="W7" t="s">
        <v>41</v>
      </c>
    </row>
    <row r="8" spans="1:23" x14ac:dyDescent="0.45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  <c r="M8">
        <v>2007</v>
      </c>
      <c r="N8" t="str">
        <f>PROPER(TRIM(B8))</f>
        <v>Michael Taylor</v>
      </c>
      <c r="O8" t="str">
        <f>PROPER(C8)</f>
        <v>Midwest</v>
      </c>
      <c r="P8" t="str">
        <f>UPPER(E8)</f>
        <v>CA</v>
      </c>
      <c r="Q8" t="str">
        <f>_xlfn.CONCAT(PROPER(D8),", ",P8)</f>
        <v>Los Angeles, CA</v>
      </c>
      <c r="R8" t="s">
        <v>228</v>
      </c>
      <c r="S8" s="2">
        <v>499</v>
      </c>
      <c r="T8">
        <v>3</v>
      </c>
      <c r="U8" s="2">
        <v>1497</v>
      </c>
      <c r="V8" s="4">
        <v>45329</v>
      </c>
      <c r="W8" t="s">
        <v>46</v>
      </c>
    </row>
    <row r="9" spans="1:23" x14ac:dyDescent="0.45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  <c r="M9">
        <v>2008</v>
      </c>
      <c r="N9" t="str">
        <f>PROPER(TRIM(B9))</f>
        <v>Robert Davis</v>
      </c>
      <c r="O9" t="str">
        <f>PROPER(C9)</f>
        <v>West</v>
      </c>
      <c r="P9" t="str">
        <f>UPPER(E9)</f>
        <v>IL</v>
      </c>
      <c r="Q9" t="str">
        <f>_xlfn.CONCAT(PROPER(D9),", ",P9)</f>
        <v>Chicago, IL</v>
      </c>
      <c r="R9" t="s">
        <v>229</v>
      </c>
      <c r="S9" s="2">
        <v>299</v>
      </c>
      <c r="T9">
        <v>3</v>
      </c>
      <c r="U9" s="2">
        <v>897</v>
      </c>
      <c r="V9" s="4">
        <v>45330</v>
      </c>
      <c r="W9" t="s">
        <v>50</v>
      </c>
    </row>
    <row r="10" spans="1:23" x14ac:dyDescent="0.45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  <c r="M10">
        <v>2009</v>
      </c>
      <c r="N10" t="str">
        <f>PROPER(TRIM(B10))</f>
        <v>Elizabeth Brown</v>
      </c>
      <c r="O10" t="str">
        <f>PROPER(C10)</f>
        <v>South</v>
      </c>
      <c r="P10" t="str">
        <f>UPPER(E10)</f>
        <v>IL</v>
      </c>
      <c r="Q10" t="str">
        <f>_xlfn.CONCAT(PROPER(D10),", ",P10)</f>
        <v>Chicago, IL</v>
      </c>
      <c r="R10" t="s">
        <v>232</v>
      </c>
      <c r="S10" s="2">
        <v>699</v>
      </c>
      <c r="T10">
        <v>4</v>
      </c>
      <c r="U10" s="2">
        <v>2796</v>
      </c>
      <c r="V10" s="4">
        <v>45331</v>
      </c>
      <c r="W10" t="s">
        <v>53</v>
      </c>
    </row>
    <row r="11" spans="1:23" x14ac:dyDescent="0.45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  <c r="M11">
        <v>2010</v>
      </c>
      <c r="N11" t="str">
        <f>PROPER(TRIM(B11))</f>
        <v>Elizabeth Johnson</v>
      </c>
      <c r="O11" t="str">
        <f>PROPER(C11)</f>
        <v>East</v>
      </c>
      <c r="P11" t="str">
        <f>UPPER(E11)</f>
        <v>CA</v>
      </c>
      <c r="Q11" t="str">
        <f>_xlfn.CONCAT(PROPER(D11),", ",P11)</f>
        <v>Los Angeles, CA</v>
      </c>
      <c r="R11" t="s">
        <v>230</v>
      </c>
      <c r="S11" s="2">
        <v>899</v>
      </c>
      <c r="T11">
        <v>5</v>
      </c>
      <c r="U11" s="2">
        <v>4495</v>
      </c>
      <c r="V11" s="4">
        <v>45332</v>
      </c>
      <c r="W11" t="s">
        <v>57</v>
      </c>
    </row>
    <row r="12" spans="1:23" x14ac:dyDescent="0.45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  <c r="M12">
        <v>2012</v>
      </c>
      <c r="N12" t="str">
        <f>PROPER(TRIM(B12))</f>
        <v>Robert Wilson</v>
      </c>
      <c r="O12" t="str">
        <f>PROPER(C12)</f>
        <v>East</v>
      </c>
      <c r="P12" t="str">
        <f>UPPER(E12)</f>
        <v>TX</v>
      </c>
      <c r="Q12" t="str">
        <f>_xlfn.CONCAT(PROPER(D12),", ",P12)</f>
        <v>Houston, TX</v>
      </c>
      <c r="R12" t="s">
        <v>230</v>
      </c>
      <c r="S12" s="2">
        <v>899</v>
      </c>
      <c r="T12">
        <v>3</v>
      </c>
      <c r="U12" s="2">
        <v>2697</v>
      </c>
      <c r="V12" s="4">
        <v>45334</v>
      </c>
      <c r="W12" t="s">
        <v>62</v>
      </c>
    </row>
    <row r="13" spans="1:23" x14ac:dyDescent="0.45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  <c r="M13">
        <v>2013</v>
      </c>
      <c r="N13" t="str">
        <f>PROPER(TRIM(B13))</f>
        <v>Elizabeth Moore</v>
      </c>
      <c r="O13" t="str">
        <f>PROPER(C13)</f>
        <v>Midwest</v>
      </c>
      <c r="P13" t="str">
        <f>UPPER(E13)</f>
        <v>TX</v>
      </c>
      <c r="Q13" t="str">
        <f>_xlfn.CONCAT(PROPER(D13),", ",P13)</f>
        <v>Houston, TX</v>
      </c>
      <c r="R13" t="s">
        <v>228</v>
      </c>
      <c r="S13" s="2">
        <v>499</v>
      </c>
      <c r="T13">
        <v>4</v>
      </c>
      <c r="U13" s="2">
        <v>1996</v>
      </c>
      <c r="V13" s="4">
        <v>45335</v>
      </c>
      <c r="W13" t="s">
        <v>65</v>
      </c>
    </row>
    <row r="14" spans="1:23" x14ac:dyDescent="0.45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  <c r="M14">
        <v>2014</v>
      </c>
      <c r="N14" t="str">
        <f>PROPER(TRIM(B14))</f>
        <v>Barbara Davis</v>
      </c>
      <c r="O14" t="str">
        <f>PROPER(C14)</f>
        <v>South</v>
      </c>
      <c r="P14" t="str">
        <f>UPPER(E14)</f>
        <v>IL</v>
      </c>
      <c r="Q14" t="str">
        <f>_xlfn.CONCAT(PROPER(D14),", ",P14)</f>
        <v>Chicago, IL</v>
      </c>
      <c r="R14" t="s">
        <v>228</v>
      </c>
      <c r="S14" s="2">
        <v>499</v>
      </c>
      <c r="T14">
        <v>3</v>
      </c>
      <c r="U14" s="2">
        <v>1497</v>
      </c>
      <c r="V14" s="4">
        <v>45336</v>
      </c>
      <c r="W14" t="s">
        <v>70</v>
      </c>
    </row>
    <row r="15" spans="1:23" x14ac:dyDescent="0.45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  <c r="M15">
        <v>2015</v>
      </c>
      <c r="N15" t="str">
        <f>PROPER(TRIM(B15))</f>
        <v>Barbara Thomas</v>
      </c>
      <c r="O15" t="str">
        <f>PROPER(C15)</f>
        <v>Midwest</v>
      </c>
      <c r="P15" t="str">
        <f>UPPER(E15)</f>
        <v>PA</v>
      </c>
      <c r="Q15" t="str">
        <f>_xlfn.CONCAT(PROPER(D15),", ",P15)</f>
        <v>Philadelphia, PA</v>
      </c>
      <c r="R15" t="s">
        <v>229</v>
      </c>
      <c r="S15" s="2">
        <v>299</v>
      </c>
      <c r="T15">
        <v>4</v>
      </c>
      <c r="U15" s="2">
        <v>1196</v>
      </c>
      <c r="V15" s="4">
        <v>45337</v>
      </c>
      <c r="W15" t="s">
        <v>75</v>
      </c>
    </row>
    <row r="16" spans="1:23" x14ac:dyDescent="0.45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  <c r="M16">
        <v>2016</v>
      </c>
      <c r="N16" t="str">
        <f>PROPER(TRIM(B16))</f>
        <v>Patricia Johnson</v>
      </c>
      <c r="O16" t="str">
        <f>PROPER(C16)</f>
        <v>East</v>
      </c>
      <c r="P16" t="str">
        <f>UPPER(E16)</f>
        <v>NY</v>
      </c>
      <c r="Q16" t="str">
        <f>_xlfn.CONCAT(PROPER(D16),", ",P16)</f>
        <v>New York, NY</v>
      </c>
      <c r="R16" t="s">
        <v>228</v>
      </c>
      <c r="S16" s="2">
        <v>499</v>
      </c>
      <c r="T16">
        <v>4</v>
      </c>
      <c r="U16" s="2">
        <v>1996</v>
      </c>
      <c r="V16" s="4">
        <v>45338</v>
      </c>
      <c r="W16" t="s">
        <v>80</v>
      </c>
    </row>
    <row r="17" spans="1:23" x14ac:dyDescent="0.45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  <c r="M17">
        <v>2017</v>
      </c>
      <c r="N17" t="str">
        <f>PROPER(TRIM(B17))</f>
        <v>Elizabeth Wilson</v>
      </c>
      <c r="O17" t="str">
        <f>PROPER(C17)</f>
        <v>West</v>
      </c>
      <c r="P17" t="str">
        <f>UPPER(E17)</f>
        <v>AZ</v>
      </c>
      <c r="Q17" t="str">
        <f>_xlfn.CONCAT(PROPER(D17),", ",P17)</f>
        <v>Phoenix, AZ</v>
      </c>
      <c r="R17" t="s">
        <v>228</v>
      </c>
      <c r="S17" s="2">
        <v>499</v>
      </c>
      <c r="T17">
        <v>4</v>
      </c>
      <c r="U17" s="2">
        <v>1996</v>
      </c>
      <c r="V17" s="4">
        <v>45339</v>
      </c>
      <c r="W17" t="s">
        <v>83</v>
      </c>
    </row>
    <row r="18" spans="1:23" x14ac:dyDescent="0.45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  <c r="M18">
        <v>2018</v>
      </c>
      <c r="N18" t="str">
        <f>PROPER(TRIM(B18))</f>
        <v>Robert Taylor</v>
      </c>
      <c r="O18" t="str">
        <f>PROPER(C18)</f>
        <v>South</v>
      </c>
      <c r="P18" t="str">
        <f>UPPER(E18)</f>
        <v>PA</v>
      </c>
      <c r="Q18" t="str">
        <f>_xlfn.CONCAT(PROPER(D18),", ",P18)</f>
        <v>Philadelphia, PA</v>
      </c>
      <c r="R18" t="s">
        <v>231</v>
      </c>
      <c r="S18" s="2">
        <v>89</v>
      </c>
      <c r="T18">
        <v>4</v>
      </c>
      <c r="U18" s="2">
        <v>356</v>
      </c>
      <c r="V18" s="4">
        <v>45340</v>
      </c>
      <c r="W18" t="s">
        <v>86</v>
      </c>
    </row>
    <row r="19" spans="1:23" x14ac:dyDescent="0.45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  <c r="M19">
        <v>2019</v>
      </c>
      <c r="N19" t="str">
        <f>PROPER(TRIM(B19))</f>
        <v>Michael Moore</v>
      </c>
      <c r="O19" t="str">
        <f>PROPER(C19)</f>
        <v>South</v>
      </c>
      <c r="P19" t="str">
        <f>UPPER(E19)</f>
        <v>CA</v>
      </c>
      <c r="Q19" t="str">
        <f>_xlfn.CONCAT(PROPER(D19),", ",P19)</f>
        <v>San Diego, CA</v>
      </c>
      <c r="R19" t="s">
        <v>229</v>
      </c>
      <c r="S19" s="2">
        <v>299</v>
      </c>
      <c r="T19">
        <v>4</v>
      </c>
      <c r="U19" s="2">
        <v>1196</v>
      </c>
      <c r="V19" s="4">
        <v>45341</v>
      </c>
      <c r="W19" t="s">
        <v>89</v>
      </c>
    </row>
    <row r="20" spans="1:23" x14ac:dyDescent="0.45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  <c r="M20">
        <v>2020</v>
      </c>
      <c r="N20" t="str">
        <f>PROPER(TRIM(B20))</f>
        <v>Patricia Moore</v>
      </c>
      <c r="O20" t="str">
        <f>PROPER(C20)</f>
        <v>South</v>
      </c>
      <c r="P20" t="str">
        <f>UPPER(E20)</f>
        <v>TX</v>
      </c>
      <c r="Q20" t="str">
        <f>_xlfn.CONCAT(PROPER(D20),", ",P20)</f>
        <v>Houston, TX</v>
      </c>
      <c r="R20" t="s">
        <v>232</v>
      </c>
      <c r="S20" s="2">
        <v>699</v>
      </c>
      <c r="T20">
        <v>2</v>
      </c>
      <c r="U20" s="2">
        <v>1398</v>
      </c>
      <c r="V20" s="4">
        <v>45342</v>
      </c>
      <c r="W20" t="s">
        <v>92</v>
      </c>
    </row>
    <row r="21" spans="1:23" x14ac:dyDescent="0.45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  <c r="M21">
        <v>2022</v>
      </c>
      <c r="N21" t="str">
        <f>PROPER(TRIM(B21))</f>
        <v>Linda Anderson</v>
      </c>
      <c r="O21" t="str">
        <f>PROPER(C21)</f>
        <v>Midwest</v>
      </c>
      <c r="P21" t="str">
        <f>UPPER(E21)</f>
        <v>TX</v>
      </c>
      <c r="Q21" t="str">
        <f>_xlfn.CONCAT(PROPER(D21),", ",P21)</f>
        <v>Houston, TX</v>
      </c>
      <c r="R21" t="s">
        <v>231</v>
      </c>
      <c r="S21" s="2">
        <v>89</v>
      </c>
      <c r="T21">
        <v>5</v>
      </c>
      <c r="U21" s="2">
        <v>445</v>
      </c>
      <c r="V21" s="4">
        <v>45344</v>
      </c>
      <c r="W21" t="s">
        <v>95</v>
      </c>
    </row>
    <row r="22" spans="1:23" x14ac:dyDescent="0.45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  <c r="M22">
        <v>2025</v>
      </c>
      <c r="N22" t="str">
        <f>PROPER(TRIM(B22))</f>
        <v>Mary Wilson</v>
      </c>
      <c r="O22" t="str">
        <f>PROPER(C22)</f>
        <v>West</v>
      </c>
      <c r="P22" t="str">
        <f>UPPER(E22)</f>
        <v>TX</v>
      </c>
      <c r="Q22" t="str">
        <f>_xlfn.CONCAT(PROPER(D22),", ",P22)</f>
        <v>Houston, TX</v>
      </c>
      <c r="R22" t="s">
        <v>229</v>
      </c>
      <c r="S22" s="2">
        <v>299</v>
      </c>
      <c r="T22">
        <v>3</v>
      </c>
      <c r="U22" s="2">
        <v>897</v>
      </c>
      <c r="V22" s="4">
        <v>45347</v>
      </c>
      <c r="W22" t="s">
        <v>102</v>
      </c>
    </row>
    <row r="23" spans="1:23" x14ac:dyDescent="0.45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  <c r="M23">
        <v>2027</v>
      </c>
      <c r="N23" t="str">
        <f>PROPER(TRIM(B23))</f>
        <v>William Anderson</v>
      </c>
      <c r="O23" t="str">
        <f>PROPER(C23)</f>
        <v>East</v>
      </c>
      <c r="P23" t="str">
        <f>UPPER(E23)</f>
        <v>TX</v>
      </c>
      <c r="Q23" t="str">
        <f>_xlfn.CONCAT(PROPER(D23),", ",P23)</f>
        <v>Houston, TX</v>
      </c>
      <c r="R23" t="s">
        <v>230</v>
      </c>
      <c r="S23" s="2">
        <v>899</v>
      </c>
      <c r="T23">
        <v>5</v>
      </c>
      <c r="U23" s="2">
        <v>4495</v>
      </c>
      <c r="V23" s="4">
        <v>45349</v>
      </c>
      <c r="W23" t="s">
        <v>107</v>
      </c>
    </row>
    <row r="24" spans="1:23" x14ac:dyDescent="0.45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  <c r="M24">
        <v>2028</v>
      </c>
      <c r="N24" t="str">
        <f>PROPER(TRIM(B24))</f>
        <v>Michael Thomas</v>
      </c>
      <c r="O24" t="str">
        <f>PROPER(C24)</f>
        <v>South</v>
      </c>
      <c r="P24" t="str">
        <f>UPPER(E24)</f>
        <v>TX</v>
      </c>
      <c r="Q24" t="str">
        <f>_xlfn.CONCAT(PROPER(D24),", ",P24)</f>
        <v>Houston, TX</v>
      </c>
      <c r="R24" t="s">
        <v>228</v>
      </c>
      <c r="S24" s="2">
        <v>499</v>
      </c>
      <c r="T24">
        <v>2</v>
      </c>
      <c r="U24" s="2">
        <v>998</v>
      </c>
      <c r="V24" s="4">
        <v>45350</v>
      </c>
      <c r="W24" t="s">
        <v>110</v>
      </c>
    </row>
    <row r="25" spans="1:23" x14ac:dyDescent="0.45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  <c r="M25">
        <v>2029</v>
      </c>
      <c r="N25" t="str">
        <f>PROPER(TRIM(B25))</f>
        <v>Barbara Thomas</v>
      </c>
      <c r="O25" t="str">
        <f>PROPER(C25)</f>
        <v>Midwest</v>
      </c>
      <c r="P25" t="str">
        <f>UPPER(E25)</f>
        <v>CA</v>
      </c>
      <c r="Q25" t="str">
        <f>_xlfn.CONCAT(PROPER(D25),", ",P25)</f>
        <v>San Diego, CA</v>
      </c>
      <c r="R25" t="s">
        <v>232</v>
      </c>
      <c r="S25" s="2">
        <v>699</v>
      </c>
      <c r="T25">
        <v>1</v>
      </c>
      <c r="U25" s="2">
        <v>699</v>
      </c>
      <c r="V25" s="4">
        <v>45323</v>
      </c>
      <c r="W25" t="s">
        <v>112</v>
      </c>
    </row>
    <row r="26" spans="1:23" x14ac:dyDescent="0.45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  <c r="M26">
        <v>2031</v>
      </c>
      <c r="N26" t="str">
        <f>PROPER(TRIM(B26))</f>
        <v>Linda Moore</v>
      </c>
      <c r="O26" t="str">
        <f>PROPER(C26)</f>
        <v>East</v>
      </c>
      <c r="P26" t="str">
        <f>UPPER(E26)</f>
        <v>CA</v>
      </c>
      <c r="Q26" t="str">
        <f>_xlfn.CONCAT(PROPER(D26),", ",P26)</f>
        <v>Los Angeles, CA</v>
      </c>
      <c r="R26" t="s">
        <v>230</v>
      </c>
      <c r="S26" s="2">
        <v>899</v>
      </c>
      <c r="T26">
        <v>5</v>
      </c>
      <c r="U26" s="2">
        <v>4495</v>
      </c>
      <c r="V26" s="4">
        <v>45325</v>
      </c>
      <c r="W26" t="s">
        <v>115</v>
      </c>
    </row>
    <row r="27" spans="1:23" x14ac:dyDescent="0.45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  <c r="M27">
        <v>2032</v>
      </c>
      <c r="N27" t="str">
        <f>PROPER(TRIM(B27))</f>
        <v>Patricia Taylor</v>
      </c>
      <c r="O27" t="str">
        <f>PROPER(C27)</f>
        <v>East</v>
      </c>
      <c r="P27" t="str">
        <f>UPPER(E27)</f>
        <v>CA</v>
      </c>
      <c r="Q27" t="str">
        <f>_xlfn.CONCAT(PROPER(D27),", ",P27)</f>
        <v>Los Angeles, CA</v>
      </c>
      <c r="R27" t="s">
        <v>229</v>
      </c>
      <c r="S27" s="2">
        <v>299</v>
      </c>
      <c r="T27">
        <v>3</v>
      </c>
      <c r="U27" s="2">
        <v>897</v>
      </c>
      <c r="V27" s="4">
        <v>45326</v>
      </c>
      <c r="W27" t="s">
        <v>117</v>
      </c>
    </row>
    <row r="28" spans="1:23" x14ac:dyDescent="0.45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  <c r="M28">
        <v>2033</v>
      </c>
      <c r="N28" t="str">
        <f>PROPER(TRIM(B28))</f>
        <v>James Moore</v>
      </c>
      <c r="O28" t="str">
        <f>PROPER(C28)</f>
        <v>South</v>
      </c>
      <c r="P28" t="str">
        <f>UPPER(E28)</f>
        <v>CA</v>
      </c>
      <c r="Q28" t="str">
        <f>_xlfn.CONCAT(PROPER(D28),", ",P28)</f>
        <v>San Diego, CA</v>
      </c>
      <c r="R28" t="s">
        <v>230</v>
      </c>
      <c r="S28" s="2">
        <v>899</v>
      </c>
      <c r="T28">
        <v>5</v>
      </c>
      <c r="U28" s="2">
        <v>4495</v>
      </c>
      <c r="V28" s="4">
        <v>45327</v>
      </c>
      <c r="W28" t="s">
        <v>119</v>
      </c>
    </row>
    <row r="29" spans="1:23" x14ac:dyDescent="0.45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  <c r="M29">
        <v>2034</v>
      </c>
      <c r="N29" t="str">
        <f>PROPER(TRIM(B29))</f>
        <v>Mary Davis</v>
      </c>
      <c r="O29" t="str">
        <f>PROPER(C29)</f>
        <v>South</v>
      </c>
      <c r="P29" t="str">
        <f>UPPER(E29)</f>
        <v>CA</v>
      </c>
      <c r="Q29" t="str">
        <f>_xlfn.CONCAT(PROPER(D29),", ",P29)</f>
        <v>Los Angeles, CA</v>
      </c>
      <c r="R29" t="s">
        <v>232</v>
      </c>
      <c r="S29" s="2">
        <v>699</v>
      </c>
      <c r="T29">
        <v>1</v>
      </c>
      <c r="U29" s="2">
        <v>699</v>
      </c>
      <c r="V29" s="4">
        <v>45328</v>
      </c>
      <c r="W29" t="s">
        <v>121</v>
      </c>
    </row>
    <row r="30" spans="1:23" x14ac:dyDescent="0.45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  <c r="M30">
        <v>2036</v>
      </c>
      <c r="N30" t="str">
        <f>PROPER(TRIM(B30))</f>
        <v>Patricia Jackson</v>
      </c>
      <c r="O30" t="str">
        <f>PROPER(C30)</f>
        <v>Midwest</v>
      </c>
      <c r="P30" t="str">
        <f>UPPER(E30)</f>
        <v>AZ</v>
      </c>
      <c r="Q30" t="str">
        <f>_xlfn.CONCAT(PROPER(D30),", ",P30)</f>
        <v>Phoenix, AZ</v>
      </c>
      <c r="R30" t="s">
        <v>232</v>
      </c>
      <c r="S30" s="2">
        <v>699</v>
      </c>
      <c r="T30">
        <v>5</v>
      </c>
      <c r="U30" s="2">
        <v>3495</v>
      </c>
      <c r="V30" s="4">
        <v>45330</v>
      </c>
      <c r="W30" t="s">
        <v>124</v>
      </c>
    </row>
    <row r="31" spans="1:23" x14ac:dyDescent="0.45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  <c r="M31">
        <v>2037</v>
      </c>
      <c r="N31" t="str">
        <f>PROPER(TRIM(B31))</f>
        <v>Michael Thomas</v>
      </c>
      <c r="O31" t="str">
        <f>PROPER(C31)</f>
        <v>South</v>
      </c>
      <c r="P31" t="str">
        <f>UPPER(E31)</f>
        <v>PA</v>
      </c>
      <c r="Q31" t="str">
        <f>_xlfn.CONCAT(PROPER(D31),", ",P31)</f>
        <v>Philadelphia, PA</v>
      </c>
      <c r="R31" t="s">
        <v>231</v>
      </c>
      <c r="S31" s="2">
        <v>89</v>
      </c>
      <c r="T31">
        <v>3</v>
      </c>
      <c r="U31" s="2">
        <v>267</v>
      </c>
      <c r="V31" s="4">
        <v>45331</v>
      </c>
      <c r="W31" t="s">
        <v>126</v>
      </c>
    </row>
    <row r="32" spans="1:23" x14ac:dyDescent="0.45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  <c r="M32">
        <v>2038</v>
      </c>
      <c r="N32" t="str">
        <f>PROPER(TRIM(B32))</f>
        <v>Robert Anderson</v>
      </c>
      <c r="O32" t="str">
        <f>PROPER(C32)</f>
        <v>East</v>
      </c>
      <c r="P32" t="str">
        <f>UPPER(E32)</f>
        <v>IL</v>
      </c>
      <c r="Q32" t="str">
        <f>_xlfn.CONCAT(PROPER(D32),", ",P32)</f>
        <v>Chicago, IL</v>
      </c>
      <c r="R32" t="s">
        <v>232</v>
      </c>
      <c r="S32" s="2">
        <v>699</v>
      </c>
      <c r="T32">
        <v>3</v>
      </c>
      <c r="U32" s="2">
        <v>2097</v>
      </c>
      <c r="V32" s="4">
        <v>45332</v>
      </c>
      <c r="W32" t="s">
        <v>128</v>
      </c>
    </row>
    <row r="33" spans="1:23" x14ac:dyDescent="0.45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  <c r="M33">
        <v>2039</v>
      </c>
      <c r="N33" t="str">
        <f>PROPER(TRIM(B33))</f>
        <v>Barbara Taylor</v>
      </c>
      <c r="O33" t="str">
        <f>PROPER(C33)</f>
        <v>East</v>
      </c>
      <c r="P33" t="str">
        <f>UPPER(E33)</f>
        <v>TX</v>
      </c>
      <c r="Q33" t="str">
        <f>_xlfn.CONCAT(PROPER(D33),", ",P33)</f>
        <v>San Antonio, TX</v>
      </c>
      <c r="R33" t="s">
        <v>230</v>
      </c>
      <c r="S33" s="2">
        <v>899</v>
      </c>
      <c r="T33">
        <v>1</v>
      </c>
      <c r="U33" s="2">
        <v>899</v>
      </c>
      <c r="V33" s="4">
        <v>45333</v>
      </c>
      <c r="W33" t="s">
        <v>130</v>
      </c>
    </row>
    <row r="34" spans="1:23" x14ac:dyDescent="0.45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  <c r="M34">
        <v>2041</v>
      </c>
      <c r="N34" t="str">
        <f>PROPER(TRIM(B34))</f>
        <v>Linda Davis</v>
      </c>
      <c r="O34" t="str">
        <f>PROPER(C34)</f>
        <v>West</v>
      </c>
      <c r="P34" t="str">
        <f>UPPER(E34)</f>
        <v>AZ</v>
      </c>
      <c r="Q34" t="str">
        <f>_xlfn.CONCAT(PROPER(D34),", ",P34)</f>
        <v>Phoenix, AZ</v>
      </c>
      <c r="R34" t="s">
        <v>231</v>
      </c>
      <c r="S34" s="2">
        <v>89</v>
      </c>
      <c r="T34">
        <v>2</v>
      </c>
      <c r="U34" s="2">
        <v>178</v>
      </c>
      <c r="V34" s="4">
        <v>45335</v>
      </c>
      <c r="W34" t="s">
        <v>133</v>
      </c>
    </row>
    <row r="35" spans="1:23" x14ac:dyDescent="0.45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  <c r="M35">
        <v>2042</v>
      </c>
      <c r="N35" t="str">
        <f>PROPER(TRIM(B35))</f>
        <v>James Jackson</v>
      </c>
      <c r="O35" t="str">
        <f>PROPER(C35)</f>
        <v>East</v>
      </c>
      <c r="P35" t="str">
        <f>UPPER(E35)</f>
        <v>CA</v>
      </c>
      <c r="Q35" t="str">
        <f>_xlfn.CONCAT(PROPER(D35),", ",P35)</f>
        <v>Los Angeles, CA</v>
      </c>
      <c r="R35" t="s">
        <v>231</v>
      </c>
      <c r="S35" s="2">
        <v>89</v>
      </c>
      <c r="T35">
        <v>1</v>
      </c>
      <c r="U35" s="2">
        <v>89</v>
      </c>
      <c r="V35" s="4">
        <v>45336</v>
      </c>
      <c r="W35" t="s">
        <v>135</v>
      </c>
    </row>
    <row r="36" spans="1:23" x14ac:dyDescent="0.45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  <c r="M36">
        <v>2043</v>
      </c>
      <c r="N36" t="str">
        <f>PROPER(TRIM(B36))</f>
        <v>Mary Davis</v>
      </c>
      <c r="O36" t="str">
        <f>PROPER(C36)</f>
        <v>East</v>
      </c>
      <c r="P36" t="str">
        <f>UPPER(E36)</f>
        <v>CA</v>
      </c>
      <c r="Q36" t="str">
        <f>_xlfn.CONCAT(PROPER(D36),", ",P36)</f>
        <v>San Diego, CA</v>
      </c>
      <c r="R36" t="s">
        <v>230</v>
      </c>
      <c r="S36" s="2">
        <v>899</v>
      </c>
      <c r="T36">
        <v>5</v>
      </c>
      <c r="U36" s="2">
        <v>4495</v>
      </c>
      <c r="V36" s="4">
        <v>45337</v>
      </c>
      <c r="W36" t="s">
        <v>137</v>
      </c>
    </row>
    <row r="37" spans="1:23" x14ac:dyDescent="0.45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  <c r="M37">
        <v>2045</v>
      </c>
      <c r="N37" t="str">
        <f>PROPER(TRIM(B37))</f>
        <v>Barbara Johnson</v>
      </c>
      <c r="O37" t="str">
        <f>PROPER(C37)</f>
        <v>South</v>
      </c>
      <c r="P37" t="str">
        <f>UPPER(E37)</f>
        <v>IL</v>
      </c>
      <c r="Q37" t="str">
        <f>_xlfn.CONCAT(PROPER(D37),", ",P37)</f>
        <v>Chicago, IL</v>
      </c>
      <c r="R37" t="s">
        <v>231</v>
      </c>
      <c r="S37" s="2">
        <v>89</v>
      </c>
      <c r="T37">
        <v>3</v>
      </c>
      <c r="U37" s="2">
        <v>267</v>
      </c>
      <c r="V37" s="4">
        <v>45339</v>
      </c>
      <c r="W37" t="s">
        <v>140</v>
      </c>
    </row>
    <row r="38" spans="1:23" x14ac:dyDescent="0.45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  <c r="M38">
        <v>2047</v>
      </c>
      <c r="N38" t="str">
        <f>PROPER(TRIM(B38))</f>
        <v>William Taylor</v>
      </c>
      <c r="O38" t="str">
        <f>PROPER(C38)</f>
        <v>East</v>
      </c>
      <c r="P38" t="str">
        <f>UPPER(E38)</f>
        <v>PA</v>
      </c>
      <c r="Q38" t="str">
        <f>_xlfn.CONCAT(PROPER(D38),", ",P38)</f>
        <v>Philadelphia, PA</v>
      </c>
      <c r="R38" t="s">
        <v>228</v>
      </c>
      <c r="S38" s="2">
        <v>499</v>
      </c>
      <c r="T38">
        <v>4</v>
      </c>
      <c r="U38" s="2">
        <v>1996</v>
      </c>
      <c r="V38" s="4">
        <v>45341</v>
      </c>
      <c r="W38" t="s">
        <v>142</v>
      </c>
    </row>
    <row r="39" spans="1:23" x14ac:dyDescent="0.45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  <c r="M39">
        <v>2048</v>
      </c>
      <c r="N39" t="str">
        <f>PROPER(TRIM(B39))</f>
        <v>Mary Moore</v>
      </c>
      <c r="O39" t="str">
        <f>PROPER(C39)</f>
        <v>East</v>
      </c>
      <c r="P39" t="str">
        <f>UPPER(E39)</f>
        <v>AZ</v>
      </c>
      <c r="Q39" t="str">
        <f>_xlfn.CONCAT(PROPER(D39),", ",P39)</f>
        <v>Phoenix, AZ</v>
      </c>
      <c r="R39" t="s">
        <v>231</v>
      </c>
      <c r="S39" s="2">
        <v>89</v>
      </c>
      <c r="T39">
        <v>1</v>
      </c>
      <c r="U39" s="2">
        <v>89</v>
      </c>
      <c r="V39" s="4">
        <v>45342</v>
      </c>
      <c r="W39" t="s">
        <v>144</v>
      </c>
    </row>
    <row r="40" spans="1:23" x14ac:dyDescent="0.45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  <c r="M40">
        <v>2049</v>
      </c>
      <c r="N40" t="str">
        <f>PROPER(TRIM(B40))</f>
        <v>John Jackson</v>
      </c>
      <c r="O40" t="str">
        <f>PROPER(C40)</f>
        <v>South</v>
      </c>
      <c r="P40" t="str">
        <f>UPPER(E40)</f>
        <v>AZ</v>
      </c>
      <c r="Q40" t="str">
        <f>_xlfn.CONCAT(PROPER(D40),", ",P40)</f>
        <v>Phoenix, AZ</v>
      </c>
      <c r="R40" t="s">
        <v>229</v>
      </c>
      <c r="S40" s="2">
        <v>299</v>
      </c>
      <c r="T40">
        <v>4</v>
      </c>
      <c r="U40" s="2">
        <v>1196</v>
      </c>
      <c r="V40" s="4">
        <v>45343</v>
      </c>
      <c r="W40" t="s">
        <v>147</v>
      </c>
    </row>
    <row r="41" spans="1:23" x14ac:dyDescent="0.45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  <c r="M41">
        <v>2051</v>
      </c>
      <c r="N41" t="str">
        <f>PROPER(TRIM(B41))</f>
        <v>Michael Moore</v>
      </c>
      <c r="O41" t="str">
        <f>PROPER(C41)</f>
        <v>East</v>
      </c>
      <c r="P41" t="str">
        <f>UPPER(E41)</f>
        <v>TX</v>
      </c>
      <c r="Q41" t="str">
        <f>_xlfn.CONCAT(PROPER(D41),", ",P41)</f>
        <v>Houston, TX</v>
      </c>
      <c r="R41" t="s">
        <v>229</v>
      </c>
      <c r="S41" s="2">
        <v>299</v>
      </c>
      <c r="T41">
        <v>2</v>
      </c>
      <c r="U41" s="2">
        <v>598</v>
      </c>
      <c r="V41" s="4">
        <v>45345</v>
      </c>
      <c r="W41" t="s">
        <v>150</v>
      </c>
    </row>
    <row r="42" spans="1:23" x14ac:dyDescent="0.45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  <c r="M42">
        <v>2052</v>
      </c>
      <c r="N42" t="str">
        <f>PROPER(TRIM(B42))</f>
        <v>Linda Wilson</v>
      </c>
      <c r="O42" t="str">
        <f>PROPER(C42)</f>
        <v>West</v>
      </c>
      <c r="P42" t="str">
        <f>UPPER(E42)</f>
        <v>TX</v>
      </c>
      <c r="Q42" t="str">
        <f>_xlfn.CONCAT(PROPER(D42),", ",P42)</f>
        <v>Houston, TX</v>
      </c>
      <c r="R42" t="s">
        <v>231</v>
      </c>
      <c r="S42" s="2">
        <v>89</v>
      </c>
      <c r="T42">
        <v>5</v>
      </c>
      <c r="U42" s="2">
        <v>445</v>
      </c>
      <c r="V42" s="4">
        <v>45346</v>
      </c>
      <c r="W42" t="s">
        <v>152</v>
      </c>
    </row>
    <row r="43" spans="1:23" x14ac:dyDescent="0.45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  <c r="M43">
        <v>2053</v>
      </c>
      <c r="N43" t="str">
        <f>PROPER(TRIM(B43))</f>
        <v>Michael Anderson</v>
      </c>
      <c r="O43" t="str">
        <f>PROPER(C43)</f>
        <v>South</v>
      </c>
      <c r="P43" t="str">
        <f>UPPER(E43)</f>
        <v>CA</v>
      </c>
      <c r="Q43" t="str">
        <f>_xlfn.CONCAT(PROPER(D43),", ",P43)</f>
        <v>Los Angeles, CA</v>
      </c>
      <c r="R43" t="s">
        <v>232</v>
      </c>
      <c r="S43" s="2">
        <v>699</v>
      </c>
      <c r="T43">
        <v>2</v>
      </c>
      <c r="U43" s="2">
        <v>1398</v>
      </c>
      <c r="V43" s="4">
        <v>45347</v>
      </c>
      <c r="W43" t="s">
        <v>154</v>
      </c>
    </row>
    <row r="44" spans="1:23" x14ac:dyDescent="0.45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  <c r="M44">
        <v>2054</v>
      </c>
      <c r="N44" t="str">
        <f>PROPER(TRIM(B44))</f>
        <v>Elizabeth Davis</v>
      </c>
      <c r="O44" t="str">
        <f>PROPER(C44)</f>
        <v>East</v>
      </c>
      <c r="P44" t="str">
        <f>UPPER(E44)</f>
        <v>IL</v>
      </c>
      <c r="Q44" t="str">
        <f>_xlfn.CONCAT(PROPER(D44),", ",P44)</f>
        <v>Chicago, IL</v>
      </c>
      <c r="R44" t="s">
        <v>230</v>
      </c>
      <c r="S44" s="2">
        <v>899</v>
      </c>
      <c r="T44">
        <v>4</v>
      </c>
      <c r="U44" s="2">
        <v>3596</v>
      </c>
      <c r="V44" s="4">
        <v>45348</v>
      </c>
      <c r="W44" t="s">
        <v>156</v>
      </c>
    </row>
    <row r="45" spans="1:23" x14ac:dyDescent="0.45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  <c r="M45">
        <v>2055</v>
      </c>
      <c r="N45" t="str">
        <f>PROPER(TRIM(B45))</f>
        <v>James Moore</v>
      </c>
      <c r="O45" t="str">
        <f>PROPER(C45)</f>
        <v>South</v>
      </c>
      <c r="P45" t="str">
        <f>UPPER(E45)</f>
        <v>TX</v>
      </c>
      <c r="Q45" t="str">
        <f>_xlfn.CONCAT(PROPER(D45),", ",P45)</f>
        <v>San Antonio, TX</v>
      </c>
      <c r="R45" t="s">
        <v>232</v>
      </c>
      <c r="S45" s="2">
        <v>699</v>
      </c>
      <c r="T45">
        <v>5</v>
      </c>
      <c r="U45" s="2">
        <v>3495</v>
      </c>
      <c r="V45" s="4">
        <v>45349</v>
      </c>
      <c r="W45" t="s">
        <v>158</v>
      </c>
    </row>
    <row r="46" spans="1:23" x14ac:dyDescent="0.45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  <c r="M46">
        <v>2056</v>
      </c>
      <c r="N46" t="str">
        <f>PROPER(TRIM(B46))</f>
        <v>Elizabeth Jackson</v>
      </c>
      <c r="O46" t="str">
        <f>PROPER(C46)</f>
        <v>West</v>
      </c>
      <c r="P46" t="str">
        <f>UPPER(E46)</f>
        <v>AZ</v>
      </c>
      <c r="Q46" t="str">
        <f>_xlfn.CONCAT(PROPER(D46),", ",P46)</f>
        <v>Phoenix, AZ</v>
      </c>
      <c r="R46" t="s">
        <v>231</v>
      </c>
      <c r="S46" s="2">
        <v>89</v>
      </c>
      <c r="T46">
        <v>3</v>
      </c>
      <c r="U46" s="2">
        <v>267</v>
      </c>
      <c r="V46" s="4">
        <v>45350</v>
      </c>
      <c r="W46" t="s">
        <v>160</v>
      </c>
    </row>
    <row r="47" spans="1:23" x14ac:dyDescent="0.45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  <c r="M47">
        <v>2058</v>
      </c>
      <c r="N47" t="str">
        <f>PROPER(TRIM(B47))</f>
        <v>Robert Wilson</v>
      </c>
      <c r="O47" t="str">
        <f>PROPER(C47)</f>
        <v>East</v>
      </c>
      <c r="P47" t="str">
        <f>UPPER(E47)</f>
        <v>TX</v>
      </c>
      <c r="Q47" t="str">
        <f>_xlfn.CONCAT(PROPER(D47),", ",P47)</f>
        <v>Houston, TX</v>
      </c>
      <c r="R47" t="s">
        <v>228</v>
      </c>
      <c r="S47" s="2">
        <v>499</v>
      </c>
      <c r="T47">
        <v>3</v>
      </c>
      <c r="U47" s="2">
        <v>1497</v>
      </c>
      <c r="V47" s="4">
        <v>45324</v>
      </c>
      <c r="W47" t="s">
        <v>163</v>
      </c>
    </row>
    <row r="48" spans="1:23" x14ac:dyDescent="0.45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  <c r="M48">
        <v>2062</v>
      </c>
      <c r="N48" t="str">
        <f>PROPER(TRIM(B48))</f>
        <v>Mary Taylor</v>
      </c>
      <c r="O48" t="str">
        <f>PROPER(C48)</f>
        <v>East</v>
      </c>
      <c r="P48" t="str">
        <f>UPPER(E48)</f>
        <v>AZ</v>
      </c>
      <c r="Q48" t="str">
        <f>_xlfn.CONCAT(PROPER(D48),", ",P48)</f>
        <v>Phoenix, AZ</v>
      </c>
      <c r="R48" t="s">
        <v>229</v>
      </c>
      <c r="S48" s="2">
        <v>299</v>
      </c>
      <c r="T48">
        <v>5</v>
      </c>
      <c r="U48" s="2">
        <v>1495</v>
      </c>
      <c r="V48" s="4">
        <v>45328</v>
      </c>
      <c r="W48" t="s">
        <v>168</v>
      </c>
    </row>
    <row r="49" spans="1:23" x14ac:dyDescent="0.45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  <c r="M49">
        <v>2063</v>
      </c>
      <c r="N49" t="str">
        <f>PROPER(TRIM(B49))</f>
        <v>Elizabeth Thomas</v>
      </c>
      <c r="O49" t="str">
        <f>PROPER(C49)</f>
        <v>Midwest</v>
      </c>
      <c r="P49" t="str">
        <f>UPPER(E49)</f>
        <v>PA</v>
      </c>
      <c r="Q49" t="str">
        <f>_xlfn.CONCAT(PROPER(D49),", ",P49)</f>
        <v>Philadelphia, PA</v>
      </c>
      <c r="R49" t="s">
        <v>232</v>
      </c>
      <c r="S49" s="2">
        <v>699</v>
      </c>
      <c r="T49">
        <v>5</v>
      </c>
      <c r="U49" s="2">
        <v>3495</v>
      </c>
      <c r="V49" s="4">
        <v>45329</v>
      </c>
      <c r="W49" t="s">
        <v>170</v>
      </c>
    </row>
    <row r="50" spans="1:23" x14ac:dyDescent="0.45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  <c r="M50">
        <v>2064</v>
      </c>
      <c r="N50" t="str">
        <f>PROPER(TRIM(B50))</f>
        <v>Barbara Smith</v>
      </c>
      <c r="O50" t="str">
        <f>PROPER(C50)</f>
        <v>East</v>
      </c>
      <c r="P50" t="str">
        <f>UPPER(E50)</f>
        <v>CA</v>
      </c>
      <c r="Q50" t="str">
        <f>_xlfn.CONCAT(PROPER(D50),", ",P50)</f>
        <v>San Diego, CA</v>
      </c>
      <c r="R50" t="s">
        <v>228</v>
      </c>
      <c r="S50" s="2">
        <v>499</v>
      </c>
      <c r="T50">
        <v>5</v>
      </c>
      <c r="U50" s="2">
        <v>2495</v>
      </c>
      <c r="V50" s="4">
        <v>45330</v>
      </c>
      <c r="W50" t="s">
        <v>172</v>
      </c>
    </row>
    <row r="51" spans="1:23" x14ac:dyDescent="0.45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  <c r="M51">
        <v>2066</v>
      </c>
      <c r="N51" t="str">
        <f>PROPER(TRIM(B51))</f>
        <v>Linda Davis</v>
      </c>
      <c r="O51" t="str">
        <f>PROPER(C51)</f>
        <v>Midwest</v>
      </c>
      <c r="P51" t="str">
        <f>UPPER(E51)</f>
        <v>TX</v>
      </c>
      <c r="Q51" t="str">
        <f>_xlfn.CONCAT(PROPER(D51),", ",P51)</f>
        <v>Houston, TX</v>
      </c>
      <c r="R51" t="s">
        <v>229</v>
      </c>
      <c r="S51" s="2">
        <v>299</v>
      </c>
      <c r="T51">
        <v>5</v>
      </c>
      <c r="U51" s="2">
        <v>1495</v>
      </c>
      <c r="V51" s="4">
        <v>45332</v>
      </c>
      <c r="W51" t="s">
        <v>175</v>
      </c>
    </row>
    <row r="52" spans="1:23" x14ac:dyDescent="0.45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  <c r="M52">
        <v>2068</v>
      </c>
      <c r="N52" t="str">
        <f>PROPER(TRIM(B52))</f>
        <v>Robert Brown</v>
      </c>
      <c r="O52" t="str">
        <f>PROPER(C52)</f>
        <v>East</v>
      </c>
      <c r="P52" t="str">
        <f>UPPER(E52)</f>
        <v>CA</v>
      </c>
      <c r="Q52" t="str">
        <f>_xlfn.CONCAT(PROPER(D52),", ",P52)</f>
        <v>San Diego, CA</v>
      </c>
      <c r="R52" t="s">
        <v>231</v>
      </c>
      <c r="S52" s="2">
        <v>89</v>
      </c>
      <c r="T52">
        <v>2</v>
      </c>
      <c r="U52" s="2">
        <v>178</v>
      </c>
      <c r="V52" s="4">
        <v>45334</v>
      </c>
      <c r="W52" t="s">
        <v>178</v>
      </c>
    </row>
    <row r="53" spans="1:23" x14ac:dyDescent="0.45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  <c r="M53">
        <v>2069</v>
      </c>
      <c r="N53" t="str">
        <f>PROPER(TRIM(B53))</f>
        <v>James Wilson</v>
      </c>
      <c r="O53" t="str">
        <f>PROPER(C53)</f>
        <v>South</v>
      </c>
      <c r="P53" t="str">
        <f>UPPER(E53)</f>
        <v>CA</v>
      </c>
      <c r="Q53" t="str">
        <f>_xlfn.CONCAT(PROPER(D53),", ",P53)</f>
        <v>Los Angeles, CA</v>
      </c>
      <c r="R53" t="s">
        <v>232</v>
      </c>
      <c r="S53" s="2">
        <v>699</v>
      </c>
      <c r="T53">
        <v>1</v>
      </c>
      <c r="U53" s="2">
        <v>699</v>
      </c>
      <c r="V53" s="4">
        <v>45335</v>
      </c>
      <c r="W53" t="s">
        <v>180</v>
      </c>
    </row>
    <row r="54" spans="1:23" x14ac:dyDescent="0.45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  <c r="M54">
        <v>2070</v>
      </c>
      <c r="N54" t="str">
        <f>PROPER(TRIM(B54))</f>
        <v>John Wilson</v>
      </c>
      <c r="O54" t="str">
        <f>PROPER(C54)</f>
        <v>East</v>
      </c>
      <c r="P54" t="str">
        <f>UPPER(E54)</f>
        <v>IL</v>
      </c>
      <c r="Q54" t="str">
        <f>_xlfn.CONCAT(PROPER(D54),", ",P54)</f>
        <v>Chicago, IL</v>
      </c>
      <c r="R54" t="s">
        <v>231</v>
      </c>
      <c r="S54" s="2">
        <v>89</v>
      </c>
      <c r="T54">
        <v>4</v>
      </c>
      <c r="U54" s="2">
        <v>356</v>
      </c>
      <c r="V54" s="4">
        <v>45336</v>
      </c>
      <c r="W54" t="s">
        <v>182</v>
      </c>
    </row>
    <row r="55" spans="1:23" x14ac:dyDescent="0.45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  <c r="M55">
        <v>2072</v>
      </c>
      <c r="N55" t="str">
        <f>PROPER(TRIM(B55))</f>
        <v>William Wilson</v>
      </c>
      <c r="O55" t="str">
        <f>PROPER(C55)</f>
        <v>South</v>
      </c>
      <c r="P55" t="str">
        <f>UPPER(E55)</f>
        <v>CA</v>
      </c>
      <c r="Q55" t="str">
        <f>_xlfn.CONCAT(PROPER(D55),", ",P55)</f>
        <v>San Diego, CA</v>
      </c>
      <c r="R55" t="s">
        <v>232</v>
      </c>
      <c r="S55" s="2">
        <v>699</v>
      </c>
      <c r="T55">
        <v>2</v>
      </c>
      <c r="U55" s="2">
        <v>1398</v>
      </c>
      <c r="V55" s="4">
        <v>45338</v>
      </c>
      <c r="W55" t="s">
        <v>185</v>
      </c>
    </row>
    <row r="56" spans="1:23" x14ac:dyDescent="0.45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  <c r="M56">
        <v>2073</v>
      </c>
      <c r="N56" t="str">
        <f>PROPER(TRIM(B56))</f>
        <v>Patricia Wilson</v>
      </c>
      <c r="O56" t="str">
        <f>PROPER(C56)</f>
        <v>Midwest</v>
      </c>
      <c r="P56" t="str">
        <f>UPPER(E56)</f>
        <v>TX</v>
      </c>
      <c r="Q56" t="str">
        <f>_xlfn.CONCAT(PROPER(D56),", ",P56)</f>
        <v>San Antonio, TX</v>
      </c>
      <c r="R56" t="s">
        <v>229</v>
      </c>
      <c r="S56" s="2">
        <v>299</v>
      </c>
      <c r="T56">
        <v>5</v>
      </c>
      <c r="U56" s="2">
        <v>1495</v>
      </c>
      <c r="V56" s="4">
        <v>45339</v>
      </c>
      <c r="W56" t="s">
        <v>187</v>
      </c>
    </row>
    <row r="57" spans="1:23" x14ac:dyDescent="0.45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  <c r="M57">
        <v>2075</v>
      </c>
      <c r="N57" t="str">
        <f>PROPER(TRIM(B57))</f>
        <v>Linda Johnson</v>
      </c>
      <c r="O57" t="str">
        <f>PROPER(C57)</f>
        <v>Midwest</v>
      </c>
      <c r="P57" t="str">
        <f>UPPER(E57)</f>
        <v>PA</v>
      </c>
      <c r="Q57" t="str">
        <f>_xlfn.CONCAT(PROPER(D57),", ",P57)</f>
        <v>Philadelphia, PA</v>
      </c>
      <c r="R57" t="s">
        <v>230</v>
      </c>
      <c r="S57" s="2">
        <v>899</v>
      </c>
      <c r="T57">
        <v>5</v>
      </c>
      <c r="U57" s="2">
        <v>4495</v>
      </c>
      <c r="V57" s="4">
        <v>45341</v>
      </c>
      <c r="W57" t="s">
        <v>190</v>
      </c>
    </row>
    <row r="58" spans="1:23" x14ac:dyDescent="0.45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  <c r="M58">
        <v>2076</v>
      </c>
      <c r="N58" t="str">
        <f>PROPER(TRIM(B58))</f>
        <v>John Wilson</v>
      </c>
      <c r="O58" t="str">
        <f>PROPER(C58)</f>
        <v>South</v>
      </c>
      <c r="P58" t="str">
        <f>UPPER(E58)</f>
        <v>PA</v>
      </c>
      <c r="Q58" t="str">
        <f>_xlfn.CONCAT(PROPER(D58),", ",P58)</f>
        <v>Philadelphia, PA</v>
      </c>
      <c r="R58" t="s">
        <v>228</v>
      </c>
      <c r="S58" s="2">
        <v>499</v>
      </c>
      <c r="T58">
        <v>3</v>
      </c>
      <c r="U58" s="2">
        <v>1497</v>
      </c>
      <c r="V58" s="4">
        <v>45342</v>
      </c>
      <c r="W58" t="s">
        <v>192</v>
      </c>
    </row>
    <row r="59" spans="1:23" x14ac:dyDescent="0.45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  <c r="M59">
        <v>2079</v>
      </c>
      <c r="N59" t="str">
        <f>PROPER(TRIM(B59))</f>
        <v>Linda Brown</v>
      </c>
      <c r="O59" t="str">
        <f>PROPER(C59)</f>
        <v>West</v>
      </c>
      <c r="P59" t="str">
        <f>UPPER(E59)</f>
        <v>TX</v>
      </c>
      <c r="Q59" t="str">
        <f>_xlfn.CONCAT(PROPER(D59),", ",P59)</f>
        <v>Houston, TX</v>
      </c>
      <c r="R59" t="s">
        <v>229</v>
      </c>
      <c r="S59" s="2">
        <v>299</v>
      </c>
      <c r="T59">
        <v>2</v>
      </c>
      <c r="U59" s="2">
        <v>598</v>
      </c>
      <c r="V59" s="4">
        <v>45345</v>
      </c>
      <c r="W59" t="s">
        <v>196</v>
      </c>
    </row>
    <row r="60" spans="1:23" x14ac:dyDescent="0.45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  <c r="M60">
        <v>2080</v>
      </c>
      <c r="N60" t="str">
        <f>PROPER(TRIM(B60))</f>
        <v>Michael Moore</v>
      </c>
      <c r="O60" t="str">
        <f>PROPER(C60)</f>
        <v>South</v>
      </c>
      <c r="P60" t="str">
        <f>UPPER(E60)</f>
        <v>CA</v>
      </c>
      <c r="Q60" t="str">
        <f>_xlfn.CONCAT(PROPER(D60),", ",P60)</f>
        <v>San Diego, CA</v>
      </c>
      <c r="R60" t="s">
        <v>230</v>
      </c>
      <c r="S60" s="2">
        <v>899</v>
      </c>
      <c r="T60">
        <v>4</v>
      </c>
      <c r="U60" s="2">
        <v>3596</v>
      </c>
      <c r="V60" s="4">
        <v>45346</v>
      </c>
      <c r="W60" t="s">
        <v>198</v>
      </c>
    </row>
    <row r="61" spans="1:23" x14ac:dyDescent="0.45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  <c r="M61">
        <v>2089</v>
      </c>
      <c r="N61" t="str">
        <f>PROPER(TRIM(B61))</f>
        <v>Barbara Taylor</v>
      </c>
      <c r="O61" t="str">
        <f>PROPER(C61)</f>
        <v>Midwest</v>
      </c>
      <c r="P61" t="str">
        <f>UPPER(E61)</f>
        <v>CA</v>
      </c>
      <c r="Q61" t="str">
        <f>_xlfn.CONCAT(PROPER(D61),", ",P61)</f>
        <v>Los Angeles, CA</v>
      </c>
      <c r="R61" t="s">
        <v>228</v>
      </c>
      <c r="S61" s="2">
        <v>499</v>
      </c>
      <c r="T61">
        <v>1</v>
      </c>
      <c r="U61" s="2">
        <v>499</v>
      </c>
      <c r="V61" s="4">
        <v>45327</v>
      </c>
      <c r="W61" t="s">
        <v>208</v>
      </c>
    </row>
    <row r="62" spans="1:23" x14ac:dyDescent="0.45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  <c r="M62">
        <v>2090</v>
      </c>
      <c r="N62" t="str">
        <f>PROPER(TRIM(B62))</f>
        <v>Barbara Thomas</v>
      </c>
      <c r="O62" t="str">
        <f>PROPER(C62)</f>
        <v>Midwest</v>
      </c>
      <c r="P62" t="str">
        <f>UPPER(E62)</f>
        <v>AZ</v>
      </c>
      <c r="Q62" t="str">
        <f>_xlfn.CONCAT(PROPER(D62),", ",P62)</f>
        <v>Phoenix, AZ</v>
      </c>
      <c r="R62" t="s">
        <v>232</v>
      </c>
      <c r="S62" s="2">
        <v>699</v>
      </c>
      <c r="T62">
        <v>4</v>
      </c>
      <c r="U62" s="2">
        <v>2796</v>
      </c>
      <c r="V62" s="4">
        <v>45328</v>
      </c>
      <c r="W62" t="s">
        <v>210</v>
      </c>
    </row>
    <row r="63" spans="1:23" x14ac:dyDescent="0.45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  <c r="M63">
        <v>2091</v>
      </c>
      <c r="N63" t="str">
        <f>PROPER(TRIM(B63))</f>
        <v>Robert Moore</v>
      </c>
      <c r="O63" t="str">
        <f>PROPER(C63)</f>
        <v>East</v>
      </c>
      <c r="P63" t="str">
        <f>UPPER(E63)</f>
        <v>TX</v>
      </c>
      <c r="Q63" t="str">
        <f>_xlfn.CONCAT(PROPER(D63),", ",P63)</f>
        <v>Houston, TX</v>
      </c>
      <c r="R63" t="s">
        <v>230</v>
      </c>
      <c r="S63" s="2">
        <v>899</v>
      </c>
      <c r="T63">
        <v>1</v>
      </c>
      <c r="U63" s="2">
        <v>899</v>
      </c>
      <c r="V63" s="4">
        <v>45329</v>
      </c>
      <c r="W63" t="s">
        <v>212</v>
      </c>
    </row>
    <row r="64" spans="1:23" x14ac:dyDescent="0.45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  <c r="M64">
        <v>2092</v>
      </c>
      <c r="N64" t="str">
        <f>PROPER(TRIM(B64))</f>
        <v>James Smith</v>
      </c>
      <c r="O64" t="str">
        <f>PROPER(C64)</f>
        <v>East</v>
      </c>
      <c r="P64" t="str">
        <f>UPPER(E64)</f>
        <v>PA</v>
      </c>
      <c r="Q64" t="str">
        <f>_xlfn.CONCAT(PROPER(D64),", ",P64)</f>
        <v>Philadelphia, PA</v>
      </c>
      <c r="R64" t="s">
        <v>230</v>
      </c>
      <c r="S64" s="2">
        <v>899</v>
      </c>
      <c r="T64">
        <v>5</v>
      </c>
      <c r="U64" s="2">
        <v>4495</v>
      </c>
      <c r="V64" s="4">
        <v>45330</v>
      </c>
      <c r="W64" t="s">
        <v>214</v>
      </c>
    </row>
    <row r="65" spans="1:23" x14ac:dyDescent="0.45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  <c r="M65">
        <v>2097</v>
      </c>
      <c r="N65" t="str">
        <f>PROPER(TRIM(B65))</f>
        <v>John Moore</v>
      </c>
      <c r="O65" t="str">
        <f>PROPER(C65)</f>
        <v>East</v>
      </c>
      <c r="P65" t="str">
        <f>UPPER(E65)</f>
        <v>TX</v>
      </c>
      <c r="Q65" t="str">
        <f>_xlfn.CONCAT(PROPER(D65),", ",P65)</f>
        <v>Houston, TX</v>
      </c>
      <c r="R65" t="s">
        <v>229</v>
      </c>
      <c r="S65" s="2">
        <v>299</v>
      </c>
      <c r="T65">
        <v>3</v>
      </c>
      <c r="U65" s="2">
        <v>897</v>
      </c>
      <c r="V65" s="4">
        <v>45335</v>
      </c>
      <c r="W65" t="s">
        <v>220</v>
      </c>
    </row>
    <row r="66" spans="1:23" x14ac:dyDescent="0.45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  <c r="M66">
        <v>2098</v>
      </c>
      <c r="N66" t="str">
        <f>PROPER(TRIM(B66))</f>
        <v>Michael Taylor</v>
      </c>
      <c r="O66" t="str">
        <f>PROPER(C66)</f>
        <v>West</v>
      </c>
      <c r="P66" t="str">
        <f>UPPER(E66)</f>
        <v>CA</v>
      </c>
      <c r="Q66" t="str">
        <f>_xlfn.CONCAT(PROPER(D66),", ",P66)</f>
        <v>Los Angeles, CA</v>
      </c>
      <c r="R66" t="s">
        <v>232</v>
      </c>
      <c r="S66" s="2">
        <v>699</v>
      </c>
      <c r="T66">
        <v>2</v>
      </c>
      <c r="U66" s="2">
        <v>1398</v>
      </c>
      <c r="V66" s="4">
        <v>45336</v>
      </c>
      <c r="W66" t="s">
        <v>222</v>
      </c>
    </row>
    <row r="67" spans="1:23" x14ac:dyDescent="0.45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23" x14ac:dyDescent="0.45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23" x14ac:dyDescent="0.45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23" x14ac:dyDescent="0.45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23" x14ac:dyDescent="0.45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23" x14ac:dyDescent="0.45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23" x14ac:dyDescent="0.45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23" x14ac:dyDescent="0.45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23" x14ac:dyDescent="0.45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23" x14ac:dyDescent="0.45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23" x14ac:dyDescent="0.45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23" x14ac:dyDescent="0.45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23" x14ac:dyDescent="0.45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23" x14ac:dyDescent="0.45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45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45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45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45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45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45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45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45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45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45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45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45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45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45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45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45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7" x14ac:dyDescent="0.45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7" x14ac:dyDescent="0.45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7" x14ac:dyDescent="0.45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7" x14ac:dyDescent="0.45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7" x14ac:dyDescent="0.45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  <row r="102" spans="1:17" x14ac:dyDescent="0.45">
      <c r="Q102" t="str">
        <f t="shared" ref="Q102" si="0">PROPER(_xlfn.CONCAT(D102,", ",E102))</f>
        <v xml:space="preserve">, </v>
      </c>
    </row>
  </sheetData>
  <conditionalFormatting sqref="U2:U66">
    <cfRule type="cellIs" dxfId="0" priority="1" operator="greaterThan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sharleen guerrero</dc:creator>
  <cp:keywords/>
  <dc:description/>
  <cp:lastModifiedBy>sharleen guerrero</cp:lastModifiedBy>
  <cp:revision/>
  <dcterms:created xsi:type="dcterms:W3CDTF">2026-04-09T12:04:05Z</dcterms:created>
  <dcterms:modified xsi:type="dcterms:W3CDTF">2026-04-13T02:06:39Z</dcterms:modified>
  <cp:category/>
  <cp:contentStatus/>
</cp:coreProperties>
</file>