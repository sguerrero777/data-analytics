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guer\Documents\DataAnalytics\week-01\"/>
    </mc:Choice>
  </mc:AlternateContent>
  <xr:revisionPtr revIDLastSave="0" documentId="13_ncr:1_{61DA85CE-8793-4E1C-84B9-506DD984C952}" xr6:coauthVersionLast="47" xr6:coauthVersionMax="47" xr10:uidLastSave="{00000000-0000-0000-0000-000000000000}"/>
  <bookViews>
    <workbookView xWindow="10718" yWindow="0" windowWidth="10965" windowHeight="12863" activeTab="1" xr2:uid="{33AF7773-CE9F-4067-BD49-E1A777B20483}"/>
  </bookViews>
  <sheets>
    <sheet name="Sales_Data" sheetId="1" r:id="rId1"/>
    <sheet name="Excercise" sheetId="2" r:id="rId2"/>
  </sheets>
  <definedNames>
    <definedName name="_xlnm._FilterDatabase" localSheetId="0" hidden="1">Sales_Data!$A$1:$H$21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2" l="1"/>
  <c r="E41" i="2"/>
  <c r="C41" i="2"/>
  <c r="E34" i="2"/>
  <c r="D34" i="2"/>
  <c r="C34" i="2"/>
  <c r="B34" i="2"/>
  <c r="D28" i="2"/>
  <c r="C28" i="2"/>
  <c r="B28" i="2"/>
  <c r="E22" i="2"/>
  <c r="D22" i="2"/>
  <c r="C22" i="2"/>
  <c r="B22" i="2"/>
  <c r="B13" i="2"/>
  <c r="B18" i="2"/>
  <c r="B17" i="2"/>
  <c r="B16" i="2"/>
  <c r="B15" i="2"/>
  <c r="B14" i="2"/>
</calcChain>
</file>

<file path=xl/sharedStrings.xml><?xml version="1.0" encoding="utf-8"?>
<sst xmlns="http://schemas.openxmlformats.org/spreadsheetml/2006/main" count="133" uniqueCount="72">
  <si>
    <t>Order_ID</t>
  </si>
  <si>
    <t>Region</t>
  </si>
  <si>
    <t>Sales_Rep</t>
  </si>
  <si>
    <t>Product_Category</t>
  </si>
  <si>
    <t>Units_Sold</t>
  </si>
  <si>
    <t>Unit_Price</t>
  </si>
  <si>
    <t>Revenue</t>
  </si>
  <si>
    <t>Customer_Rating</t>
  </si>
  <si>
    <t>North</t>
  </si>
  <si>
    <t>Adams</t>
  </si>
  <si>
    <t>Electronics</t>
  </si>
  <si>
    <t>South</t>
  </si>
  <si>
    <t>Brown</t>
  </si>
  <si>
    <t>Furniture</t>
  </si>
  <si>
    <t>East</t>
  </si>
  <si>
    <t>Chen</t>
  </si>
  <si>
    <t>West</t>
  </si>
  <si>
    <t>Diaz</t>
  </si>
  <si>
    <t>Office Supplies</t>
  </si>
  <si>
    <t>Business Analytics Exercise: Descriptive Statistics</t>
  </si>
  <si>
    <t>Scenario:</t>
  </si>
  <si>
    <t>You are a junior data analyst working for a retail company that sells electronics,</t>
  </si>
  <si>
    <t>furniture, and office supplies. Management wants to better understand sales</t>
  </si>
  <si>
    <t>performance across regions, product categories, and sales representatives.</t>
  </si>
  <si>
    <t>Your task is to use descriptive statistics in Excel to analyze the dataset and</t>
  </si>
  <si>
    <t>provide insights that help management make business decisions.</t>
  </si>
  <si>
    <t>Part 1: Descriptive Statistics</t>
  </si>
  <si>
    <t>Calculate the following for the Revenue column:</t>
  </si>
  <si>
    <t>Average Revenue</t>
  </si>
  <si>
    <t>Median Revenue</t>
  </si>
  <si>
    <t>Minimum Revenue</t>
  </si>
  <si>
    <t>Maximum Revenue</t>
  </si>
  <si>
    <t>Range of Revenue</t>
  </si>
  <si>
    <t>Standard Deviation of Revenue</t>
  </si>
  <si>
    <t>Management wants to know which region generates the highest revenue.</t>
  </si>
  <si>
    <t>1. Calculate the average revenue by region.</t>
  </si>
  <si>
    <t>2. Which region performs the best?</t>
  </si>
  <si>
    <t>3. What recommendation would you give management?</t>
  </si>
  <si>
    <t>The company wants to understand which product category generates the most revenue.</t>
  </si>
  <si>
    <t>1. Calculate the average revenue for each product category.</t>
  </si>
  <si>
    <t>2. Which category performs best?</t>
  </si>
  <si>
    <t>3. Which category appears weakest?</t>
  </si>
  <si>
    <t>Managers want to evaluate sales representative performance.</t>
  </si>
  <si>
    <t>1. Calculate the total or average revenue generated by each sales representative.</t>
  </si>
  <si>
    <t>2. Which representative performs best?</t>
  </si>
  <si>
    <t>3. What factors might explain the differences?</t>
  </si>
  <si>
    <t>Customer ratings represent satisfaction scores from 1 to 5.</t>
  </si>
  <si>
    <t>1. Calculate the average customer rating.</t>
  </si>
  <si>
    <t>2. Identify the minimum and maximum ratings.</t>
  </si>
  <si>
    <t>3. What might management infer about customer satisfaction?</t>
  </si>
  <si>
    <t>Part 3: Interpretation</t>
  </si>
  <si>
    <t>Write a short summary (4–6 sentences) explaining the key insights</t>
  </si>
  <si>
    <t>you discovered from the descriptive statistics.</t>
  </si>
  <si>
    <t>Calculations</t>
  </si>
  <si>
    <r>
      <rPr>
        <b/>
        <sz val="11"/>
        <color rgb="FF000000"/>
        <rFont val="Calibri"/>
        <family val="2"/>
      </rPr>
      <t>Scenario B</t>
    </r>
    <r>
      <rPr>
        <sz val="11"/>
        <color rgb="FF000000"/>
        <rFont val="Calibri"/>
        <family val="2"/>
      </rPr>
      <t xml:space="preserve"> – Product Category Insights</t>
    </r>
  </si>
  <si>
    <r>
      <rPr>
        <b/>
        <sz val="11"/>
        <color rgb="FF000000"/>
        <rFont val="Calibri"/>
        <family val="2"/>
      </rPr>
      <t xml:space="preserve">Scenario C </t>
    </r>
    <r>
      <rPr>
        <sz val="11"/>
        <color rgb="FF000000"/>
        <rFont val="Calibri"/>
        <family val="2"/>
      </rPr>
      <t>– Sales Representative Performance</t>
    </r>
  </si>
  <si>
    <r>
      <rPr>
        <b/>
        <sz val="11"/>
        <color rgb="FF000000"/>
        <rFont val="Calibri"/>
        <family val="2"/>
      </rPr>
      <t>Scenario D</t>
    </r>
    <r>
      <rPr>
        <sz val="11"/>
        <color rgb="FF000000"/>
        <rFont val="Calibri"/>
        <family val="2"/>
      </rPr>
      <t xml:space="preserve"> – Customer Satisfaction</t>
    </r>
  </si>
  <si>
    <r>
      <t xml:space="preserve">Scenario A </t>
    </r>
    <r>
      <rPr>
        <sz val="11"/>
        <color rgb="FF000000"/>
        <rFont val="Calibri"/>
        <family val="2"/>
      </rPr>
      <t>- Regional Performance</t>
    </r>
  </si>
  <si>
    <t>Average:</t>
  </si>
  <si>
    <t xml:space="preserve">Minimum: </t>
  </si>
  <si>
    <t>Maximum:</t>
  </si>
  <si>
    <t>Sum</t>
  </si>
  <si>
    <t>Average</t>
  </si>
  <si>
    <t>Running Total</t>
  </si>
  <si>
    <t>Count</t>
  </si>
  <si>
    <t>Based on the average, the West region performs best.</t>
  </si>
  <si>
    <t xml:space="preserve">I would recommend management identify what the West regions's does differently than other stores that contributes to their success, wether it be marketing or promotions and apply them to lower performing regions. </t>
  </si>
  <si>
    <t>Based on the average, the Furniture category performs best.</t>
  </si>
  <si>
    <t>Based on the averages, the Office Supplies category perfoms weakest.</t>
  </si>
  <si>
    <t xml:space="preserve">Representative Diaz performs best. </t>
  </si>
  <si>
    <t xml:space="preserve">Factors that can explain this difference are: category most sold and region. Diaz mainly sells Electronics and Furniture, the top two selling categories and most expensive, contibuting to his sales performance. </t>
  </si>
  <si>
    <t>Management can infer that overall customer satisfaction is good, with ratings never dropping below 3.7. However, there is still room for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</si>
</sst>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1"/>
      <color rgb="FF1F497D"/>
      <name val="Calibri"/>
      <family val="2"/>
    </font>
    <font>
      <sz val="11"/>
      <color rgb="FF000000"/>
      <name val="Calibri"/>
      <family val="2"/>
    </font>
    <font>
      <sz val="11"/>
      <color rgb="FF242424"/>
      <name val="Aptos Narrow"/>
      <charset val="1"/>
      <scheme val="minor"/>
    </font>
    <font>
      <b/>
      <sz val="11"/>
      <color rgb="FF000000"/>
      <name val="Calibri"/>
      <family val="2"/>
    </font>
    <font>
      <b/>
      <sz val="11"/>
      <color theme="9" tint="-0.249977111117893"/>
      <name val="Calibri"/>
      <family val="2"/>
    </font>
    <font>
      <b/>
      <sz val="11"/>
      <color theme="9" tint="-0.249977111117893"/>
      <name val="Aptos Narrow"/>
      <family val="2"/>
      <scheme val="minor"/>
    </font>
  </fonts>
  <fills count="2">
    <fill>
      <patternFill patternType="none"/>
    </fill>
    <fill>
      <patternFill patternType="gray125"/>
    </fill>
  </fills>
  <borders count="19">
    <border>
      <left/>
      <right/>
      <top/>
      <bottom/>
      <diagonal/>
    </border>
    <border>
      <left/>
      <right/>
      <top/>
      <bottom style="medium">
        <color rgb="FF95B3D7"/>
      </bottom>
      <diagonal/>
    </border>
    <border>
      <left/>
      <right style="thin">
        <color theme="9" tint="0.39997558519241921"/>
      </right>
      <top/>
      <bottom/>
      <diagonal/>
    </border>
    <border>
      <left style="medium">
        <color theme="9" tint="0.39997558519241921"/>
      </left>
      <right style="medium">
        <color theme="9" tint="0.39997558519241921"/>
      </right>
      <top style="medium">
        <color theme="9" tint="0.39997558519241921"/>
      </top>
      <bottom style="medium">
        <color theme="9" tint="0.39997558519241921"/>
      </bottom>
      <diagonal/>
    </border>
    <border>
      <left/>
      <right/>
      <top style="medium">
        <color theme="9" tint="0.39997558519241921"/>
      </top>
      <bottom/>
      <diagonal/>
    </border>
    <border>
      <left/>
      <right style="medium">
        <color theme="9" tint="0.39997558519241921"/>
      </right>
      <top style="medium">
        <color theme="9" tint="0.39997558519241921"/>
      </top>
      <bottom/>
      <diagonal/>
    </border>
    <border>
      <left/>
      <right style="medium">
        <color theme="9" tint="0.39997558519241921"/>
      </right>
      <top/>
      <bottom/>
      <diagonal/>
    </border>
    <border>
      <left/>
      <right/>
      <top/>
      <bottom style="medium">
        <color theme="9" tint="0.39997558519241921"/>
      </bottom>
      <diagonal/>
    </border>
    <border>
      <left style="medium">
        <color theme="9" tint="0.39997558519241921"/>
      </left>
      <right style="medium">
        <color theme="9" tint="0.39997558519241921"/>
      </right>
      <top style="medium">
        <color theme="9" tint="0.39997558519241921"/>
      </top>
      <bottom/>
      <diagonal/>
    </border>
    <border>
      <left style="medium">
        <color theme="9" tint="0.39997558519241921"/>
      </left>
      <right/>
      <top style="medium">
        <color theme="9" tint="0.39997558519241921"/>
      </top>
      <bottom/>
      <diagonal/>
    </border>
    <border>
      <left style="thin">
        <color indexed="64"/>
      </left>
      <right/>
      <top style="medium">
        <color theme="9" tint="0.39997558519241921"/>
      </top>
      <bottom/>
      <diagonal/>
    </border>
    <border>
      <left/>
      <right/>
      <top style="medium">
        <color theme="9" tint="0.39997558519241921"/>
      </top>
      <bottom style="medium">
        <color theme="9" tint="0.39997558519241921"/>
      </bottom>
      <diagonal/>
    </border>
    <border>
      <left style="thin">
        <color indexed="64"/>
      </left>
      <right/>
      <top style="medium">
        <color theme="9" tint="0.39997558519241921"/>
      </top>
      <bottom style="medium">
        <color theme="9" tint="0.39997558519241921"/>
      </bottom>
      <diagonal/>
    </border>
    <border>
      <left/>
      <right style="thin">
        <color theme="9" tint="0.39997558519241921"/>
      </right>
      <top style="medium">
        <color theme="9" tint="0.39997558519241921"/>
      </top>
      <bottom style="medium">
        <color theme="9" tint="0.39997558519241921"/>
      </bottom>
      <diagonal/>
    </border>
    <border>
      <left style="thin">
        <color theme="9" tint="0.39997558519241921"/>
      </left>
      <right/>
      <top style="medium">
        <color theme="9" tint="0.39997558519241921"/>
      </top>
      <bottom style="medium">
        <color theme="9" tint="0.39997558519241921"/>
      </bottom>
      <diagonal/>
    </border>
    <border>
      <left/>
      <right style="medium">
        <color theme="9" tint="0.39997558519241921"/>
      </right>
      <top style="medium">
        <color theme="9" tint="0.39997558519241921"/>
      </top>
      <bottom style="medium">
        <color theme="9" tint="0.39997558519241921"/>
      </bottom>
      <diagonal/>
    </border>
    <border>
      <left style="medium">
        <color theme="9" tint="0.39997558519241921"/>
      </left>
      <right/>
      <top/>
      <bottom style="medium">
        <color theme="9" tint="0.39997558519241921"/>
      </bottom>
      <diagonal/>
    </border>
    <border>
      <left style="medium">
        <color theme="9" tint="0.39997558519241921"/>
      </left>
      <right/>
      <top style="medium">
        <color theme="9" tint="0.39997558519241921"/>
      </top>
      <bottom style="medium">
        <color theme="9" tint="0.39997558519241921"/>
      </bottom>
      <diagonal/>
    </border>
    <border>
      <left style="thin">
        <color theme="9" tint="0.39997558519241921"/>
      </left>
      <right style="thin">
        <color theme="9" tint="0.39997558519241921"/>
      </right>
      <top/>
      <bottom/>
      <diagonal/>
    </border>
  </borders>
  <cellStyleXfs count="1">
    <xf numFmtId="0" fontId="0" fillId="0" borderId="0"/>
  </cellStyleXfs>
  <cellXfs count="38">
    <xf numFmtId="0" fontId="0" fillId="0" borderId="0" xfId="0"/>
    <xf numFmtId="0" fontId="2" fillId="0" borderId="1" xfId="0" applyFont="1" applyBorder="1"/>
    <xf numFmtId="0" fontId="3" fillId="0" borderId="0" xfId="0" applyFont="1" applyAlignment="1">
      <alignment horizontal="center"/>
    </xf>
    <xf numFmtId="0" fontId="3" fillId="0" borderId="0" xfId="0" applyFont="1"/>
    <xf numFmtId="0" fontId="4" fillId="0" borderId="0" xfId="0" applyFont="1"/>
    <xf numFmtId="0" fontId="5" fillId="0" borderId="0" xfId="0" applyFont="1"/>
    <xf numFmtId="0" fontId="3" fillId="0" borderId="0" xfId="0" applyFont="1" applyAlignment="1">
      <alignment vertical="center"/>
    </xf>
    <xf numFmtId="0" fontId="3" fillId="0" borderId="0" xfId="0" applyFont="1" applyAlignment="1"/>
    <xf numFmtId="0" fontId="1" fillId="0" borderId="0" xfId="0" applyFont="1"/>
    <xf numFmtId="0" fontId="0" fillId="0" borderId="0" xfId="0" applyBorder="1"/>
    <xf numFmtId="0" fontId="3" fillId="0" borderId="0" xfId="0" applyFont="1" applyBorder="1" applyAlignment="1">
      <alignment vertical="center"/>
    </xf>
    <xf numFmtId="0" fontId="0" fillId="0" borderId="6" xfId="0" applyBorder="1"/>
    <xf numFmtId="0" fontId="0" fillId="0" borderId="7" xfId="0" applyBorder="1"/>
    <xf numFmtId="0" fontId="0" fillId="0" borderId="3" xfId="0" applyBorder="1"/>
    <xf numFmtId="0" fontId="0" fillId="0" borderId="8"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4" xfId="0" applyBorder="1" applyAlignment="1">
      <alignment horizontal="left"/>
    </xf>
    <xf numFmtId="0" fontId="3" fillId="0" borderId="3" xfId="0" applyFont="1" applyBorder="1" applyAlignment="1">
      <alignment horizontal="left"/>
    </xf>
    <xf numFmtId="0" fontId="3" fillId="0" borderId="9" xfId="0" applyFont="1" applyBorder="1" applyAlignment="1">
      <alignment horizontal="left"/>
    </xf>
    <xf numFmtId="0" fontId="3" fillId="0" borderId="16" xfId="0" applyFont="1" applyBorder="1"/>
    <xf numFmtId="0" fontId="3" fillId="0" borderId="3" xfId="0" applyFont="1" applyBorder="1"/>
    <xf numFmtId="0" fontId="0" fillId="0" borderId="3" xfId="0" applyBorder="1" applyAlignment="1">
      <alignment horizontal="left"/>
    </xf>
    <xf numFmtId="0" fontId="1" fillId="0" borderId="3" xfId="0" applyFont="1" applyBorder="1"/>
    <xf numFmtId="0" fontId="6" fillId="0" borderId="9" xfId="0" applyFont="1" applyBorder="1"/>
    <xf numFmtId="0" fontId="7" fillId="0" borderId="5" xfId="0" applyFont="1" applyBorder="1"/>
    <xf numFmtId="0" fontId="7" fillId="0" borderId="10" xfId="0" applyFont="1" applyBorder="1"/>
    <xf numFmtId="0" fontId="7" fillId="0" borderId="3" xfId="0" applyFont="1" applyBorder="1"/>
    <xf numFmtId="0" fontId="0" fillId="0" borderId="17" xfId="0" applyBorder="1"/>
    <xf numFmtId="0" fontId="3" fillId="0" borderId="2" xfId="0" applyFont="1" applyBorder="1"/>
    <xf numFmtId="0" fontId="3" fillId="0" borderId="18" xfId="0" applyFont="1" applyBorder="1"/>
    <xf numFmtId="0" fontId="6" fillId="0" borderId="17" xfId="0" applyFont="1" applyBorder="1"/>
    <xf numFmtId="0" fontId="6" fillId="0" borderId="3" xfId="0" applyFont="1" applyBorder="1"/>
    <xf numFmtId="0" fontId="3" fillId="0" borderId="8" xfId="0" applyFont="1" applyBorder="1"/>
    <xf numFmtId="0" fontId="7" fillId="0" borderId="8" xfId="0" applyFont="1" applyBorder="1"/>
  </cellXfs>
  <cellStyles count="1">
    <cellStyle name="Normal" xfId="0" builtinId="0"/>
  </cellStyles>
  <dxfs count="3">
    <dxf>
      <font>
        <b val="0"/>
        <i val="0"/>
        <strike val="0"/>
        <condense val="0"/>
        <extend val="0"/>
        <outline val="0"/>
        <shadow val="0"/>
        <u val="none"/>
        <vertAlign val="baseline"/>
        <sz val="11"/>
        <color rgb="FF000000"/>
        <name val="Calibri"/>
        <family val="2"/>
        <scheme val="none"/>
      </font>
      <numFmt numFmtId="0" formatCode="Genera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4762</xdr:colOff>
      <xdr:row>43</xdr:row>
      <xdr:rowOff>157162</xdr:rowOff>
    </xdr:from>
    <xdr:ext cx="5348288" cy="2159053"/>
    <xdr:sp macro="" textlink="">
      <xdr:nvSpPr>
        <xdr:cNvPr id="2" name="TextBox 1">
          <a:extLst>
            <a:ext uri="{FF2B5EF4-FFF2-40B4-BE49-F238E27FC236}">
              <a16:creationId xmlns:a16="http://schemas.microsoft.com/office/drawing/2014/main" id="{8CFF5C17-6828-F631-4D58-31023AB81519}"/>
            </a:ext>
          </a:extLst>
        </xdr:cNvPr>
        <xdr:cNvSpPr txBox="1"/>
      </xdr:nvSpPr>
      <xdr:spPr>
        <a:xfrm>
          <a:off x="5000625" y="8029575"/>
          <a:ext cx="5348288" cy="2159053"/>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Calibri" panose="020F0502020204030204" pitchFamily="34" charset="0"/>
              <a:ea typeface="Calibri" panose="020F0502020204030204" pitchFamily="34" charset="0"/>
              <a:cs typeface="Calibri" panose="020F0502020204030204" pitchFamily="34" charset="0"/>
            </a:rPr>
            <a:t>Analysis of sales data reveals the</a:t>
          </a:r>
          <a:r>
            <a:rPr lang="en-US" sz="1100" baseline="0">
              <a:latin typeface="Calibri" panose="020F0502020204030204" pitchFamily="34" charset="0"/>
              <a:ea typeface="Calibri" panose="020F0502020204030204" pitchFamily="34" charset="0"/>
              <a:cs typeface="Calibri" panose="020F0502020204030204" pitchFamily="34" charset="0"/>
            </a:rPr>
            <a:t> following insights: The West region is the highest-performing region generating an average of 1,457 in sales, while the East region performs the lowest at an average of 1,018.40 in sales. Applying the West region's sales practices across all regions may boost overall performance. In terms of categories, "Furniture" generates the highest average revenue at 1,892 while "Office Supplies" generates the lowest at 490.29, which may simply be due to product cost differences across categories. Since Diaz sells the categories most in demand in the highest-performing region, they're the highest performaning representative at 1457, while Chen lags behind at 1018.4. This is not indicative of skill, but simply a reflection of location and product category assiging. Overall, customer satisfaction is positive, averaging 4.3 out of 5, though there is still room for improvement. In conclusion, a stronger focus on high-revenue regions and product category pricing can significantly improve overall store performance. </a:t>
          </a:r>
          <a:endParaRPr lang="en-US" sz="1100">
            <a:latin typeface="Calibri" panose="020F0502020204030204" pitchFamily="34" charset="0"/>
            <a:ea typeface="Calibri" panose="020F0502020204030204" pitchFamily="34" charset="0"/>
            <a:cs typeface="Calibri" panose="020F0502020204030204" pitchFamily="34" charset="0"/>
          </a:endParaRP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C5421C-8BF8-4687-B45B-432CAB92309D}" name="Table2" displayName="Table2" ref="A11:B18" totalsRowShown="0" dataDxfId="1">
  <autoFilter ref="A11:B18" xr:uid="{FCC5421C-8BF8-4687-B45B-432CAB92309D}"/>
  <tableColumns count="2">
    <tableColumn id="1" xr3:uid="{6EA4E5A8-DB2E-4A01-89AE-B8957BB59C37}" name="Part 1: Descriptive Statistics" dataDxfId="2"/>
    <tableColumn id="2" xr3:uid="{A02E7A85-602D-4B3E-813C-31D7C2128BF3}" name="Calculations" dataDxfId="0">
      <calculatedColumnFormula>AVERAGE(Sales_Data!G1:G21)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92704-26FB-46CB-BF24-13355097B4B6}">
  <dimension ref="A1:H22"/>
  <sheetViews>
    <sheetView workbookViewId="0">
      <selection activeCell="H2" sqref="H2:H22"/>
    </sheetView>
  </sheetViews>
  <sheetFormatPr defaultRowHeight="14.25" x14ac:dyDescent="0.45"/>
  <cols>
    <col min="4" max="4" width="15.3984375" customWidth="1"/>
    <col min="5" max="5" width="9.3984375" customWidth="1"/>
    <col min="8" max="8" width="15.06640625" customWidth="1"/>
  </cols>
  <sheetData>
    <row r="1" spans="1:8" ht="14.65" thickBot="1" x14ac:dyDescent="0.5">
      <c r="A1" s="1" t="s">
        <v>0</v>
      </c>
      <c r="B1" s="1" t="s">
        <v>1</v>
      </c>
      <c r="C1" s="1" t="s">
        <v>2</v>
      </c>
      <c r="D1" s="1" t="s">
        <v>3</v>
      </c>
      <c r="E1" s="1" t="s">
        <v>4</v>
      </c>
      <c r="F1" s="1" t="s">
        <v>5</v>
      </c>
      <c r="G1" s="1" t="s">
        <v>6</v>
      </c>
      <c r="H1" s="1" t="s">
        <v>7</v>
      </c>
    </row>
    <row r="2" spans="1:8" x14ac:dyDescent="0.45">
      <c r="A2" s="2">
        <v>1001</v>
      </c>
      <c r="B2" s="3" t="s">
        <v>8</v>
      </c>
      <c r="C2" s="3" t="s">
        <v>9</v>
      </c>
      <c r="D2" s="3" t="s">
        <v>10</v>
      </c>
      <c r="E2" s="2">
        <v>5</v>
      </c>
      <c r="F2" s="3">
        <v>320</v>
      </c>
      <c r="G2" s="3">
        <v>1600</v>
      </c>
      <c r="H2" s="2">
        <v>4.5</v>
      </c>
    </row>
    <row r="3" spans="1:8" x14ac:dyDescent="0.45">
      <c r="A3" s="2">
        <v>1002</v>
      </c>
      <c r="B3" s="3" t="s">
        <v>11</v>
      </c>
      <c r="C3" s="3" t="s">
        <v>12</v>
      </c>
      <c r="D3" s="3" t="s">
        <v>13</v>
      </c>
      <c r="E3" s="2">
        <v>2</v>
      </c>
      <c r="F3" s="3">
        <v>850</v>
      </c>
      <c r="G3" s="3">
        <v>1700</v>
      </c>
      <c r="H3" s="2">
        <v>4.2</v>
      </c>
    </row>
    <row r="4" spans="1:8" x14ac:dyDescent="0.45">
      <c r="A4" s="2">
        <v>1003</v>
      </c>
      <c r="B4" s="3" t="s">
        <v>14</v>
      </c>
      <c r="C4" s="3" t="s">
        <v>15</v>
      </c>
      <c r="D4" s="3" t="s">
        <v>10</v>
      </c>
      <c r="E4" s="2">
        <v>3</v>
      </c>
      <c r="F4" s="3">
        <v>300</v>
      </c>
      <c r="G4" s="3">
        <v>900</v>
      </c>
      <c r="H4" s="2">
        <v>3.9</v>
      </c>
    </row>
    <row r="5" spans="1:8" x14ac:dyDescent="0.45">
      <c r="A5" s="2">
        <v>1004</v>
      </c>
      <c r="B5" s="3" t="s">
        <v>16</v>
      </c>
      <c r="C5" s="3" t="s">
        <v>17</v>
      </c>
      <c r="D5" s="3" t="s">
        <v>18</v>
      </c>
      <c r="E5" s="2">
        <v>20</v>
      </c>
      <c r="F5" s="3">
        <v>25</v>
      </c>
      <c r="G5" s="3">
        <v>500</v>
      </c>
      <c r="H5" s="2">
        <v>4.7</v>
      </c>
    </row>
    <row r="6" spans="1:8" x14ac:dyDescent="0.45">
      <c r="A6" s="2">
        <v>1005</v>
      </c>
      <c r="B6" s="3" t="s">
        <v>8</v>
      </c>
      <c r="C6" s="3" t="s">
        <v>9</v>
      </c>
      <c r="D6" s="3" t="s">
        <v>13</v>
      </c>
      <c r="E6" s="2">
        <v>1</v>
      </c>
      <c r="F6" s="3">
        <v>1200</v>
      </c>
      <c r="G6" s="3">
        <v>1200</v>
      </c>
      <c r="H6" s="2">
        <v>4.0999999999999996</v>
      </c>
    </row>
    <row r="7" spans="1:8" x14ac:dyDescent="0.45">
      <c r="A7" s="2">
        <v>1006</v>
      </c>
      <c r="B7" s="3" t="s">
        <v>11</v>
      </c>
      <c r="C7" s="3" t="s">
        <v>12</v>
      </c>
      <c r="D7" s="3" t="s">
        <v>10</v>
      </c>
      <c r="E7" s="2">
        <v>4</v>
      </c>
      <c r="F7" s="3">
        <v>310</v>
      </c>
      <c r="G7" s="3">
        <v>1240</v>
      </c>
      <c r="H7" s="2">
        <v>3.8</v>
      </c>
    </row>
    <row r="8" spans="1:8" x14ac:dyDescent="0.45">
      <c r="A8" s="2">
        <v>1007</v>
      </c>
      <c r="B8" s="3" t="s">
        <v>14</v>
      </c>
      <c r="C8" s="3" t="s">
        <v>15</v>
      </c>
      <c r="D8" s="3" t="s">
        <v>18</v>
      </c>
      <c r="E8" s="2">
        <v>15</v>
      </c>
      <c r="F8" s="3">
        <v>22</v>
      </c>
      <c r="G8" s="3">
        <v>330</v>
      </c>
      <c r="H8" s="2">
        <v>4.5999999999999996</v>
      </c>
    </row>
    <row r="9" spans="1:8" x14ac:dyDescent="0.45">
      <c r="A9" s="2">
        <v>1008</v>
      </c>
      <c r="B9" s="3" t="s">
        <v>16</v>
      </c>
      <c r="C9" s="3" t="s">
        <v>17</v>
      </c>
      <c r="D9" s="3" t="s">
        <v>10</v>
      </c>
      <c r="E9" s="2">
        <v>6</v>
      </c>
      <c r="F9" s="3">
        <v>295</v>
      </c>
      <c r="G9" s="3">
        <v>1770</v>
      </c>
      <c r="H9" s="2">
        <v>4.4000000000000004</v>
      </c>
    </row>
    <row r="10" spans="1:8" x14ac:dyDescent="0.45">
      <c r="A10" s="2">
        <v>1009</v>
      </c>
      <c r="B10" s="3" t="s">
        <v>8</v>
      </c>
      <c r="C10" s="3" t="s">
        <v>9</v>
      </c>
      <c r="D10" s="3" t="s">
        <v>18</v>
      </c>
      <c r="E10" s="2">
        <v>18</v>
      </c>
      <c r="F10" s="3">
        <v>24</v>
      </c>
      <c r="G10" s="3">
        <v>432</v>
      </c>
      <c r="H10" s="2">
        <v>4.8</v>
      </c>
    </row>
    <row r="11" spans="1:8" x14ac:dyDescent="0.45">
      <c r="A11" s="2">
        <v>1010</v>
      </c>
      <c r="B11" s="3" t="s">
        <v>11</v>
      </c>
      <c r="C11" s="3" t="s">
        <v>12</v>
      </c>
      <c r="D11" s="3" t="s">
        <v>13</v>
      </c>
      <c r="E11" s="2">
        <v>3</v>
      </c>
      <c r="F11" s="3">
        <v>900</v>
      </c>
      <c r="G11" s="3">
        <v>2700</v>
      </c>
      <c r="H11" s="2">
        <v>4</v>
      </c>
    </row>
    <row r="12" spans="1:8" x14ac:dyDescent="0.45">
      <c r="A12" s="2">
        <v>1011</v>
      </c>
      <c r="B12" s="3" t="s">
        <v>14</v>
      </c>
      <c r="C12" s="3" t="s">
        <v>15</v>
      </c>
      <c r="D12" s="3" t="s">
        <v>13</v>
      </c>
      <c r="E12" s="2">
        <v>2</v>
      </c>
      <c r="F12" s="3">
        <v>950</v>
      </c>
      <c r="G12" s="3">
        <v>1900</v>
      </c>
      <c r="H12" s="2">
        <v>4.3</v>
      </c>
    </row>
    <row r="13" spans="1:8" x14ac:dyDescent="0.45">
      <c r="A13" s="2">
        <v>1012</v>
      </c>
      <c r="B13" s="3" t="s">
        <v>16</v>
      </c>
      <c r="C13" s="3" t="s">
        <v>17</v>
      </c>
      <c r="D13" s="3" t="s">
        <v>18</v>
      </c>
      <c r="E13" s="2">
        <v>25</v>
      </c>
      <c r="F13" s="3">
        <v>23</v>
      </c>
      <c r="G13" s="3">
        <v>575</v>
      </c>
      <c r="H13" s="2">
        <v>4.9000000000000004</v>
      </c>
    </row>
    <row r="14" spans="1:8" x14ac:dyDescent="0.45">
      <c r="A14" s="2">
        <v>1013</v>
      </c>
      <c r="B14" s="3" t="s">
        <v>8</v>
      </c>
      <c r="C14" s="3" t="s">
        <v>9</v>
      </c>
      <c r="D14" s="3" t="s">
        <v>10</v>
      </c>
      <c r="E14" s="2">
        <v>7</v>
      </c>
      <c r="F14" s="3">
        <v>315</v>
      </c>
      <c r="G14" s="3">
        <v>2205</v>
      </c>
      <c r="H14" s="2">
        <v>4.2</v>
      </c>
    </row>
    <row r="15" spans="1:8" x14ac:dyDescent="0.45">
      <c r="A15" s="2">
        <v>1014</v>
      </c>
      <c r="B15" s="3" t="s">
        <v>11</v>
      </c>
      <c r="C15" s="3" t="s">
        <v>12</v>
      </c>
      <c r="D15" s="3" t="s">
        <v>18</v>
      </c>
      <c r="E15" s="2">
        <v>30</v>
      </c>
      <c r="F15" s="3">
        <v>21</v>
      </c>
      <c r="G15" s="3">
        <v>630</v>
      </c>
      <c r="H15" s="2">
        <v>4.5999999999999996</v>
      </c>
    </row>
    <row r="16" spans="1:8" x14ac:dyDescent="0.45">
      <c r="A16" s="2">
        <v>1015</v>
      </c>
      <c r="B16" s="3" t="s">
        <v>14</v>
      </c>
      <c r="C16" s="3" t="s">
        <v>15</v>
      </c>
      <c r="D16" s="3" t="s">
        <v>10</v>
      </c>
      <c r="E16" s="2">
        <v>5</v>
      </c>
      <c r="F16" s="3">
        <v>305</v>
      </c>
      <c r="G16" s="3">
        <v>1525</v>
      </c>
      <c r="H16" s="2">
        <v>4.0999999999999996</v>
      </c>
    </row>
    <row r="17" spans="1:8" x14ac:dyDescent="0.45">
      <c r="A17" s="2">
        <v>1016</v>
      </c>
      <c r="B17" s="3" t="s">
        <v>16</v>
      </c>
      <c r="C17" s="3" t="s">
        <v>17</v>
      </c>
      <c r="D17" s="3" t="s">
        <v>13</v>
      </c>
      <c r="E17" s="2">
        <v>2</v>
      </c>
      <c r="F17" s="3">
        <v>980</v>
      </c>
      <c r="G17" s="3">
        <v>1960</v>
      </c>
      <c r="H17" s="2">
        <v>3.9</v>
      </c>
    </row>
    <row r="18" spans="1:8" x14ac:dyDescent="0.45">
      <c r="A18" s="2">
        <v>1017</v>
      </c>
      <c r="B18" s="3" t="s">
        <v>8</v>
      </c>
      <c r="C18" s="3" t="s">
        <v>9</v>
      </c>
      <c r="D18" s="3" t="s">
        <v>18</v>
      </c>
      <c r="E18" s="2">
        <v>22</v>
      </c>
      <c r="F18" s="3">
        <v>24</v>
      </c>
      <c r="G18" s="3">
        <v>528</v>
      </c>
      <c r="H18" s="2">
        <v>4.7</v>
      </c>
    </row>
    <row r="19" spans="1:8" x14ac:dyDescent="0.45">
      <c r="A19" s="2">
        <v>1018</v>
      </c>
      <c r="B19" s="3" t="s">
        <v>11</v>
      </c>
      <c r="C19" s="3" t="s">
        <v>12</v>
      </c>
      <c r="D19" s="3" t="s">
        <v>10</v>
      </c>
      <c r="E19" s="2">
        <v>3</v>
      </c>
      <c r="F19" s="3">
        <v>299</v>
      </c>
      <c r="G19" s="3">
        <v>897</v>
      </c>
      <c r="H19" s="2">
        <v>3.7</v>
      </c>
    </row>
    <row r="20" spans="1:8" x14ac:dyDescent="0.45">
      <c r="A20" s="2">
        <v>1019</v>
      </c>
      <c r="B20" s="3" t="s">
        <v>14</v>
      </c>
      <c r="C20" s="3" t="s">
        <v>15</v>
      </c>
      <c r="D20" s="3" t="s">
        <v>18</v>
      </c>
      <c r="E20" s="2">
        <v>19</v>
      </c>
      <c r="F20" s="3">
        <v>23</v>
      </c>
      <c r="G20" s="3">
        <v>437</v>
      </c>
      <c r="H20" s="2">
        <v>4.5</v>
      </c>
    </row>
    <row r="21" spans="1:8" x14ac:dyDescent="0.45">
      <c r="A21" s="2">
        <v>1020</v>
      </c>
      <c r="B21" s="3" t="s">
        <v>16</v>
      </c>
      <c r="C21" s="3" t="s">
        <v>17</v>
      </c>
      <c r="D21" s="3" t="s">
        <v>10</v>
      </c>
      <c r="E21" s="2">
        <v>8</v>
      </c>
      <c r="F21" s="3">
        <v>310</v>
      </c>
      <c r="G21" s="3">
        <v>2480</v>
      </c>
      <c r="H21" s="2">
        <v>4.4000000000000004</v>
      </c>
    </row>
    <row r="22" spans="1:8" x14ac:dyDescent="0.45">
      <c r="G22" s="8"/>
    </row>
  </sheetData>
  <autoFilter ref="A1:H21" xr:uid="{78292704-26FB-46CB-BF24-13355097B4B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30357-7B36-4CC4-A08E-E59BF57E4D6B}">
  <dimension ref="A1:T46"/>
  <sheetViews>
    <sheetView tabSelected="1" workbookViewId="0">
      <selection activeCell="D64" sqref="D64"/>
    </sheetView>
  </sheetViews>
  <sheetFormatPr defaultRowHeight="14.25" x14ac:dyDescent="0.45"/>
  <cols>
    <col min="1" max="1" width="69.9296875" customWidth="1"/>
    <col min="2" max="2" width="11.06640625" customWidth="1"/>
    <col min="3" max="3" width="12.86328125" customWidth="1"/>
    <col min="4" max="4" width="12.19921875" customWidth="1"/>
  </cols>
  <sheetData>
    <row r="1" spans="1:3" x14ac:dyDescent="0.45">
      <c r="A1" s="3" t="s">
        <v>19</v>
      </c>
      <c r="B1" s="3"/>
      <c r="C1" s="3"/>
    </row>
    <row r="2" spans="1:3" x14ac:dyDescent="0.45">
      <c r="A2" s="3"/>
      <c r="B2" s="3"/>
      <c r="C2" s="3"/>
    </row>
    <row r="3" spans="1:3" x14ac:dyDescent="0.45">
      <c r="A3" s="3" t="s">
        <v>20</v>
      </c>
      <c r="B3" s="3"/>
      <c r="C3" s="3"/>
    </row>
    <row r="4" spans="1:3" x14ac:dyDescent="0.45">
      <c r="A4" s="3" t="s">
        <v>21</v>
      </c>
      <c r="B4" s="3"/>
      <c r="C4" s="3"/>
    </row>
    <row r="5" spans="1:3" x14ac:dyDescent="0.45">
      <c r="A5" s="3" t="s">
        <v>22</v>
      </c>
      <c r="B5" s="3"/>
      <c r="C5" s="3"/>
    </row>
    <row r="6" spans="1:3" x14ac:dyDescent="0.45">
      <c r="A6" s="3" t="s">
        <v>23</v>
      </c>
      <c r="B6" s="3"/>
      <c r="C6" s="3"/>
    </row>
    <row r="7" spans="1:3" x14ac:dyDescent="0.45">
      <c r="A7" s="3"/>
      <c r="B7" s="3"/>
      <c r="C7" s="3"/>
    </row>
    <row r="8" spans="1:3" x14ac:dyDescent="0.45">
      <c r="A8" s="3" t="s">
        <v>24</v>
      </c>
      <c r="B8" s="3"/>
      <c r="C8" s="3"/>
    </row>
    <row r="9" spans="1:3" x14ac:dyDescent="0.45">
      <c r="A9" s="3" t="s">
        <v>25</v>
      </c>
      <c r="B9" s="3"/>
      <c r="C9" s="3"/>
    </row>
    <row r="10" spans="1:3" x14ac:dyDescent="0.45">
      <c r="A10" s="3"/>
      <c r="B10" s="3"/>
      <c r="C10" s="3"/>
    </row>
    <row r="11" spans="1:3" x14ac:dyDescent="0.45">
      <c r="A11" s="5" t="s">
        <v>26</v>
      </c>
      <c r="B11" s="3" t="s">
        <v>53</v>
      </c>
      <c r="C11" s="3"/>
    </row>
    <row r="12" spans="1:3" x14ac:dyDescent="0.45">
      <c r="A12" s="3" t="s">
        <v>27</v>
      </c>
      <c r="B12" s="3"/>
      <c r="C12" s="3"/>
    </row>
    <row r="13" spans="1:3" x14ac:dyDescent="0.45">
      <c r="A13" s="3" t="s">
        <v>28</v>
      </c>
      <c r="B13" s="3">
        <f>AVERAGE(Sales_Data!G2:G22)</f>
        <v>1275.45</v>
      </c>
      <c r="C13" s="3"/>
    </row>
    <row r="14" spans="1:3" x14ac:dyDescent="0.45">
      <c r="A14" s="3" t="s">
        <v>29</v>
      </c>
      <c r="B14" s="3">
        <f>MEDIAN(Sales_Data!G2:G21)</f>
        <v>1220</v>
      </c>
      <c r="C14" s="3"/>
    </row>
    <row r="15" spans="1:3" x14ac:dyDescent="0.45">
      <c r="A15" s="3" t="s">
        <v>30</v>
      </c>
      <c r="B15" s="3">
        <f>MIN(Sales_Data!G2:'Sales_Data'!G21)</f>
        <v>330</v>
      </c>
      <c r="C15" s="3"/>
    </row>
    <row r="16" spans="1:3" x14ac:dyDescent="0.45">
      <c r="A16" s="3" t="s">
        <v>31</v>
      </c>
      <c r="B16" s="3">
        <f xml:space="preserve"> MAX(Sales_Data!G2:'Sales_Data'!G21)</f>
        <v>2700</v>
      </c>
      <c r="C16" s="4"/>
    </row>
    <row r="17" spans="1:20" x14ac:dyDescent="0.45">
      <c r="A17" s="3" t="s">
        <v>32</v>
      </c>
      <c r="B17" s="3">
        <f>MAX(Sales_Data!G2:'Sales_Data'!G21)- MIN(Sales_Data!G2:'Sales_Data'!G21)</f>
        <v>2370</v>
      </c>
      <c r="C17" s="3"/>
    </row>
    <row r="18" spans="1:20" x14ac:dyDescent="0.45">
      <c r="A18" s="3" t="s">
        <v>33</v>
      </c>
      <c r="B18" s="3">
        <f>ROUND(_xlfn.STDEV.S(Sales_Data!G2:G21), 2)</f>
        <v>742.05</v>
      </c>
      <c r="C18" s="3"/>
    </row>
    <row r="19" spans="1:20" x14ac:dyDescent="0.45">
      <c r="A19" s="3"/>
      <c r="B19" s="3"/>
      <c r="C19" s="3"/>
    </row>
    <row r="20" spans="1:20" ht="14.65" thickBot="1" x14ac:dyDescent="0.5">
      <c r="A20" s="5" t="s">
        <v>57</v>
      </c>
      <c r="B20" s="3"/>
      <c r="C20" s="3"/>
      <c r="F20" s="9"/>
      <c r="G20" s="9"/>
      <c r="H20" s="9"/>
      <c r="I20" s="9"/>
      <c r="J20" s="9"/>
      <c r="K20" s="9"/>
      <c r="L20" s="9"/>
      <c r="M20" s="9"/>
      <c r="N20" s="9"/>
      <c r="O20" s="9"/>
      <c r="P20" s="9"/>
      <c r="Q20" s="9"/>
      <c r="R20" s="9"/>
      <c r="S20" s="9"/>
      <c r="T20" s="9"/>
    </row>
    <row r="21" spans="1:20" ht="14.65" thickBot="1" x14ac:dyDescent="0.5">
      <c r="A21" s="6" t="s">
        <v>34</v>
      </c>
      <c r="B21" s="27" t="s">
        <v>14</v>
      </c>
      <c r="C21" s="27" t="s">
        <v>11</v>
      </c>
      <c r="D21" s="29" t="s">
        <v>16</v>
      </c>
      <c r="E21" s="28" t="s">
        <v>8</v>
      </c>
      <c r="F21" s="9"/>
      <c r="G21" s="9"/>
      <c r="H21" s="9"/>
      <c r="I21" s="9"/>
      <c r="J21" s="9"/>
      <c r="K21" s="9"/>
      <c r="L21" s="9"/>
      <c r="M21" s="9"/>
      <c r="N21" s="9"/>
      <c r="O21" s="9"/>
      <c r="P21" s="9"/>
      <c r="Q21" s="9"/>
      <c r="R21" s="9"/>
      <c r="S21" s="9"/>
      <c r="T21" s="9"/>
    </row>
    <row r="22" spans="1:20" ht="14.65" thickBot="1" x14ac:dyDescent="0.5">
      <c r="A22" s="6" t="s">
        <v>35</v>
      </c>
      <c r="B22" s="22">
        <f>AVERAGE(Sales_Data!G4, Sales_Data!G8, Sales_Data!G12, Sales_Data!G16, Sales_Data!G20)</f>
        <v>1018.4</v>
      </c>
      <c r="C22" s="21">
        <f>AVERAGE(Sales_Data!G3,Sales_Data!G7,Sales_Data!G11,Sales_Data!G15,Sales_Data!G19)</f>
        <v>1433.4</v>
      </c>
      <c r="D22" s="20">
        <f>AVERAGE(Sales_Data!G5,Sales_Data!G9,Sales_Data!G13,Sales_Data!G17,Sales_Data!G21)</f>
        <v>1457</v>
      </c>
      <c r="E22" s="25">
        <f>AVERAGE(Sales_Data!G2,Sales_Data!G6,Sales_Data!G10,Sales_Data!G14,Sales_Data!G18)</f>
        <v>1193</v>
      </c>
      <c r="F22" s="9"/>
      <c r="G22" s="9"/>
      <c r="H22" s="9"/>
      <c r="I22" s="9"/>
      <c r="J22" s="9"/>
      <c r="K22" s="9"/>
      <c r="L22" s="9"/>
      <c r="M22" s="9"/>
      <c r="N22" s="9"/>
      <c r="O22" s="9"/>
      <c r="P22" s="9"/>
      <c r="Q22" s="9"/>
      <c r="R22" s="9"/>
      <c r="S22" s="9"/>
    </row>
    <row r="23" spans="1:20" ht="14.65" thickBot="1" x14ac:dyDescent="0.5">
      <c r="A23" s="6" t="s">
        <v>36</v>
      </c>
      <c r="B23" s="24" t="s">
        <v>65</v>
      </c>
      <c r="C23" s="24"/>
      <c r="D23" s="13"/>
      <c r="E23" s="11"/>
      <c r="F23" s="9"/>
      <c r="G23" s="9"/>
      <c r="H23" s="9"/>
      <c r="I23" s="9"/>
      <c r="J23" s="9"/>
      <c r="K23" s="9"/>
      <c r="L23" s="9"/>
      <c r="M23" s="9"/>
      <c r="N23" s="9"/>
      <c r="O23" s="9"/>
      <c r="P23" s="9"/>
      <c r="Q23" s="9"/>
      <c r="R23" s="9"/>
      <c r="S23" s="9"/>
    </row>
    <row r="24" spans="1:20" ht="14.65" thickBot="1" x14ac:dyDescent="0.5">
      <c r="A24" s="10" t="s">
        <v>37</v>
      </c>
      <c r="B24" s="23" t="s">
        <v>66</v>
      </c>
      <c r="C24" s="23"/>
      <c r="D24" s="12"/>
      <c r="E24" s="13"/>
      <c r="F24" s="15"/>
      <c r="G24" s="16"/>
      <c r="H24" s="17"/>
      <c r="I24" s="18"/>
      <c r="J24" s="15"/>
      <c r="K24" s="15"/>
      <c r="L24" s="15"/>
      <c r="M24" s="15"/>
      <c r="N24" s="15"/>
      <c r="O24" s="15"/>
      <c r="P24" s="15"/>
      <c r="Q24" s="15"/>
      <c r="R24" s="15"/>
      <c r="S24" s="15"/>
      <c r="T24" s="19"/>
    </row>
    <row r="25" spans="1:20" x14ac:dyDescent="0.45">
      <c r="A25" s="3"/>
      <c r="B25" s="3"/>
      <c r="C25" s="3"/>
    </row>
    <row r="26" spans="1:20" ht="14.65" thickBot="1" x14ac:dyDescent="0.5">
      <c r="A26" s="3" t="s">
        <v>54</v>
      </c>
      <c r="B26" s="3"/>
      <c r="C26" s="3"/>
    </row>
    <row r="27" spans="1:20" ht="14.65" thickBot="1" x14ac:dyDescent="0.5">
      <c r="A27" s="7" t="s">
        <v>38</v>
      </c>
      <c r="B27" s="27" t="s">
        <v>10</v>
      </c>
      <c r="C27" s="27" t="s">
        <v>18</v>
      </c>
      <c r="D27" s="30" t="s">
        <v>13</v>
      </c>
      <c r="E27" s="9"/>
      <c r="F27" s="9"/>
      <c r="G27" s="9"/>
      <c r="H27" s="9"/>
      <c r="I27" s="9"/>
      <c r="J27" s="9"/>
      <c r="K27" s="9"/>
      <c r="L27" s="9"/>
      <c r="M27" s="9"/>
      <c r="N27" s="9"/>
      <c r="O27" s="9"/>
      <c r="P27" s="9"/>
      <c r="Q27" s="9"/>
      <c r="R27" s="9"/>
      <c r="S27" s="9"/>
    </row>
    <row r="28" spans="1:20" ht="14.65" thickBot="1" x14ac:dyDescent="0.5">
      <c r="A28" s="3" t="s">
        <v>39</v>
      </c>
      <c r="B28" s="22">
        <f>ROUND(AVERAGE(Sales_Data!G2,Sales_Data!G4,Sales_Data!G7,Sales_Data!G9,Sales_Data!G14,Sales_Data!G16,Sales_Data!G19,Sales_Data!G21), 2)</f>
        <v>1577.13</v>
      </c>
      <c r="C28" s="21">
        <f>ROUND(AVERAGE(Sales_Data!G5,Sales_Data!G8,Sales_Data!G10,Sales_Data!G13,Sales_Data!G15,Sales_Data!G18,Sales_Data!G20), 2)</f>
        <v>490.29</v>
      </c>
      <c r="D28" s="25">
        <f>ROUND(AVERAGE(Sales_Data!G3,Sales_Data!G6,Sales_Data!G11,Sales_Data!G12,Sales_Data!G17), 2)</f>
        <v>1892</v>
      </c>
      <c r="E28" s="9"/>
      <c r="G28" s="9"/>
      <c r="H28" s="9"/>
      <c r="I28" s="9"/>
      <c r="J28" s="9"/>
      <c r="K28" s="9"/>
      <c r="L28" s="9"/>
      <c r="M28" s="9"/>
      <c r="N28" s="9"/>
      <c r="O28" s="9"/>
      <c r="P28" s="9"/>
      <c r="Q28" s="9"/>
      <c r="R28" s="9"/>
      <c r="S28" s="9"/>
    </row>
    <row r="29" spans="1:20" ht="14.65" thickBot="1" x14ac:dyDescent="0.5">
      <c r="A29" s="3" t="s">
        <v>40</v>
      </c>
      <c r="B29" s="24" t="s">
        <v>67</v>
      </c>
      <c r="C29" s="24"/>
      <c r="D29" s="13"/>
      <c r="E29" s="13"/>
      <c r="F29" s="13"/>
      <c r="G29" s="9"/>
      <c r="H29" s="9"/>
      <c r="I29" s="9"/>
      <c r="J29" s="9"/>
      <c r="K29" s="9"/>
      <c r="L29" s="9"/>
      <c r="M29" s="9"/>
      <c r="N29" s="9"/>
      <c r="O29" s="9"/>
      <c r="P29" s="9"/>
      <c r="Q29" s="9"/>
      <c r="R29" s="9"/>
      <c r="S29" s="9"/>
    </row>
    <row r="30" spans="1:20" ht="14.65" thickBot="1" x14ac:dyDescent="0.5">
      <c r="A30" s="3" t="s">
        <v>41</v>
      </c>
      <c r="B30" s="23" t="s">
        <v>68</v>
      </c>
      <c r="C30" s="23"/>
      <c r="D30" s="12"/>
      <c r="E30" s="13"/>
      <c r="F30" s="15"/>
      <c r="G30" s="26"/>
    </row>
    <row r="31" spans="1:20" x14ac:dyDescent="0.45">
      <c r="A31" s="3"/>
      <c r="B31" s="3"/>
      <c r="C31" s="3"/>
    </row>
    <row r="32" spans="1:20" ht="14.65" thickBot="1" x14ac:dyDescent="0.5">
      <c r="A32" s="3" t="s">
        <v>55</v>
      </c>
      <c r="B32" s="3"/>
      <c r="C32" s="5"/>
      <c r="D32" s="8"/>
    </row>
    <row r="33" spans="1:18" ht="14.65" thickBot="1" x14ac:dyDescent="0.5">
      <c r="A33" s="3" t="s">
        <v>42</v>
      </c>
      <c r="B33" s="27" t="s">
        <v>9</v>
      </c>
      <c r="C33" s="27" t="s">
        <v>12</v>
      </c>
      <c r="D33" s="29" t="s">
        <v>15</v>
      </c>
      <c r="E33" s="28" t="s">
        <v>17</v>
      </c>
    </row>
    <row r="34" spans="1:18" ht="14.65" thickBot="1" x14ac:dyDescent="0.5">
      <c r="A34" s="3" t="s">
        <v>43</v>
      </c>
      <c r="B34" s="22">
        <f>ROUND(AVERAGE(Sales_Data!G2,Sales_Data!G6,Sales_Data!G10,Sales_Data!G14,Sales_Data!G18), 2)</f>
        <v>1193</v>
      </c>
      <c r="C34" s="21">
        <f>ROUND(AVERAGE(Sales_Data!G3,Sales_Data!G7,Sales_Data!G11,Sales_Data!G15,Sales_Data!G19), 2)</f>
        <v>1433.4</v>
      </c>
      <c r="D34" s="20">
        <f>ROUND(AVERAGE(Sales_Data!G4,Sales_Data!G8,Sales_Data!G12,Sales_Data!G16,Sales_Data!G20), 2)</f>
        <v>1018.4</v>
      </c>
      <c r="E34" s="25">
        <f>ROUND(AVERAGE(Sales_Data!G5,Sales_Data!G9,Sales_Data!G13,Sales_Data!G17,Sales_Data!G21), 2)</f>
        <v>1457</v>
      </c>
    </row>
    <row r="35" spans="1:18" ht="14.65" thickBot="1" x14ac:dyDescent="0.5">
      <c r="A35" s="3" t="s">
        <v>44</v>
      </c>
      <c r="B35" s="24" t="s">
        <v>69</v>
      </c>
      <c r="C35" s="24"/>
      <c r="D35" s="13"/>
      <c r="E35" s="11"/>
    </row>
    <row r="36" spans="1:18" ht="14.65" thickBot="1" x14ac:dyDescent="0.5">
      <c r="A36" s="3" t="s">
        <v>45</v>
      </c>
      <c r="B36" s="23" t="s">
        <v>70</v>
      </c>
      <c r="C36" s="23"/>
      <c r="D36" s="12"/>
      <c r="E36" s="13"/>
      <c r="F36" s="31"/>
      <c r="G36" s="15"/>
      <c r="H36" s="15"/>
      <c r="I36" s="15"/>
      <c r="J36" s="15"/>
      <c r="K36" s="15"/>
      <c r="L36" s="15"/>
      <c r="M36" s="15"/>
      <c r="N36" s="15"/>
      <c r="O36" s="15"/>
      <c r="P36" s="15"/>
      <c r="Q36" s="15"/>
      <c r="R36" s="19"/>
    </row>
    <row r="37" spans="1:18" x14ac:dyDescent="0.45">
      <c r="A37" s="3"/>
      <c r="B37" s="3"/>
      <c r="C37" s="3"/>
    </row>
    <row r="38" spans="1:18" x14ac:dyDescent="0.45">
      <c r="A38" s="3" t="s">
        <v>56</v>
      </c>
      <c r="B38" s="3"/>
      <c r="C38" s="3"/>
    </row>
    <row r="39" spans="1:18" ht="14.65" thickBot="1" x14ac:dyDescent="0.5">
      <c r="A39" s="3" t="s">
        <v>46</v>
      </c>
      <c r="B39" s="3"/>
      <c r="C39" s="3"/>
    </row>
    <row r="40" spans="1:18" ht="14.65" thickBot="1" x14ac:dyDescent="0.5">
      <c r="A40" s="3" t="s">
        <v>47</v>
      </c>
      <c r="B40" s="34" t="s">
        <v>58</v>
      </c>
      <c r="C40" s="24">
        <f>ROUND(AVERAGE(Sales_Data!H2:H21), 1)</f>
        <v>4.3</v>
      </c>
    </row>
    <row r="41" spans="1:18" ht="14.65" thickBot="1" x14ac:dyDescent="0.5">
      <c r="A41" s="3" t="s">
        <v>48</v>
      </c>
      <c r="B41" s="35" t="s">
        <v>59</v>
      </c>
      <c r="C41" s="36">
        <f>MIN(Sales_Data!H2:H21)</f>
        <v>3.7</v>
      </c>
      <c r="D41" s="37" t="s">
        <v>60</v>
      </c>
      <c r="E41" s="14">
        <f>MAX(Sales_Data!H2:H21)</f>
        <v>4.9000000000000004</v>
      </c>
    </row>
    <row r="42" spans="1:18" ht="14.65" thickBot="1" x14ac:dyDescent="0.5">
      <c r="A42" s="3" t="s">
        <v>49</v>
      </c>
      <c r="B42" s="24" t="s">
        <v>71</v>
      </c>
      <c r="C42" s="31"/>
      <c r="D42" s="15"/>
      <c r="E42" s="15"/>
      <c r="F42" s="15"/>
      <c r="G42" s="15"/>
      <c r="H42" s="15"/>
      <c r="I42" s="15"/>
      <c r="J42" s="15"/>
      <c r="K42" s="15"/>
      <c r="L42" s="15"/>
      <c r="M42" s="15"/>
      <c r="N42" s="19"/>
    </row>
    <row r="43" spans="1:18" x14ac:dyDescent="0.45">
      <c r="A43" s="3"/>
    </row>
    <row r="44" spans="1:18" x14ac:dyDescent="0.45">
      <c r="A44" s="5" t="s">
        <v>50</v>
      </c>
      <c r="B44" s="32"/>
      <c r="C44" s="33"/>
    </row>
    <row r="45" spans="1:18" x14ac:dyDescent="0.45">
      <c r="A45" s="3" t="s">
        <v>51</v>
      </c>
      <c r="B45" s="32"/>
      <c r="C45" s="3"/>
    </row>
    <row r="46" spans="1:18" x14ac:dyDescent="0.45">
      <c r="A46" s="3" t="s">
        <v>52</v>
      </c>
      <c r="B46" s="3"/>
      <c r="C46" s="3"/>
    </row>
  </sheetData>
  <pageMargins left="0.7" right="0.7" top="0.75" bottom="0.75" header="0.3" footer="0.3"/>
  <ignoredErrors>
    <ignoredError sqref="B14:B18" calculatedColumn="1"/>
  </ignoredErrors>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Excercise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sharleen guerrero</dc:creator>
  <cp:lastModifiedBy>sharleen guerrero</cp:lastModifiedBy>
  <dcterms:created xsi:type="dcterms:W3CDTF">2026-04-10T06:57:53Z</dcterms:created>
  <dcterms:modified xsi:type="dcterms:W3CDTF">2026-04-10T11:06:11Z</dcterms:modified>
</cp:coreProperties>
</file>