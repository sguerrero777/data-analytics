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tables/table3.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sguer\Documents\DataAnalytics\week-01\"/>
    </mc:Choice>
  </mc:AlternateContent>
  <xr:revisionPtr revIDLastSave="0" documentId="13_ncr:1_{D2BEA86C-4132-4424-AA3E-F79729F1562D}" xr6:coauthVersionLast="47" xr6:coauthVersionMax="47" xr10:uidLastSave="{00000000-0000-0000-0000-000000000000}"/>
  <bookViews>
    <workbookView xWindow="390" yWindow="0" windowWidth="20025" windowHeight="12780" xr2:uid="{00000000-000D-0000-FFFF-FFFF00000000}"/>
  </bookViews>
  <sheets>
    <sheet name="Survey_Responses" sheetId="1" r:id="rId1"/>
    <sheet name="Loyalty_Rewards_Program" sheetId="5" r:id="rId2"/>
    <sheet name="Menu Purchases" sheetId="4" r:id="rId3"/>
    <sheet name="Recommendations" sheetId="6" r:id="rId4"/>
  </sheets>
  <calcPr calcId="191029"/>
  <pivotCaches>
    <pivotCache cacheId="0"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7" i="1" l="1" a="1"/>
  <c r="I7" i="1" s="1"/>
  <c r="J7" i="1" a="1"/>
  <c r="J7" i="1"/>
  <c r="K7" i="1" a="1"/>
  <c r="K7" i="1" s="1"/>
  <c r="L7" i="1" a="1"/>
  <c r="L7" i="1" s="1"/>
  <c r="M7" i="1" a="1"/>
  <c r="M7" i="1" s="1"/>
  <c r="N7" i="1" a="1"/>
  <c r="N7" i="1" s="1"/>
  <c r="P7" i="1"/>
  <c r="I15" i="1"/>
  <c r="B6" i="4"/>
  <c r="B5" i="4"/>
  <c r="B4" i="4"/>
  <c r="B3" i="4"/>
  <c r="B2" i="4"/>
  <c r="B35" i="5"/>
  <c r="B39" i="5"/>
  <c r="B38" i="5"/>
  <c r="B37" i="5"/>
  <c r="B36" i="5"/>
  <c r="D2" i="1"/>
  <c r="D3" i="1"/>
  <c r="D4" i="1"/>
  <c r="D5" i="1"/>
  <c r="D6" i="1"/>
  <c r="G7" i="1"/>
  <c r="D7"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<sst xmlns="http://schemas.openxmlformats.org/spreadsheetml/2006/main" count="108" uniqueCount="65">
  <si>
    <t>ID</t>
  </si>
  <si>
    <t>Start time</t>
  </si>
  <si>
    <t>Completion time</t>
  </si>
  <si>
    <t>Email</t>
  </si>
  <si>
    <t>How often do you visit Kuppi Coffee?</t>
  </si>
  <si>
    <t>Which of the following do you typically order at Kuppi Coffee? (select all that apply)</t>
  </si>
  <si>
    <t>Staff Friendliness</t>
  </si>
  <si>
    <t>Speed of Service</t>
  </si>
  <si>
    <t>Cleanliness</t>
  </si>
  <si>
    <t>Wi-Fi Quality</t>
  </si>
  <si>
    <t>Seating Comfort</t>
  </si>
  <si>
    <t>Food &amp; Drink Quality</t>
  </si>
  <si>
    <t>Would you be interested in a loyalty/rewards program at Kuppi Coffee?</t>
  </si>
  <si>
    <t>Would you prefer a punch-card style reward or a points-based system? (Please select one)</t>
  </si>
  <si>
    <t>Please rank the following rewards you would be most interested in (1 = most interest)</t>
  </si>
  <si>
    <t>Any additional comments or concerns?</t>
  </si>
  <si>
    <t>anonymous</t>
  </si>
  <si>
    <t>Once a week</t>
  </si>
  <si>
    <t>Breakfast sandwiches;Specialty coffee drinks (lattes, mochas, cappuccinos, iced drinks, etc.);</t>
  </si>
  <si>
    <t>Very Satisfied</t>
  </si>
  <si>
    <t>Satisfied</t>
  </si>
  <si>
    <t>Neutral</t>
  </si>
  <si>
    <t>Maybe, depending on the rewards</t>
  </si>
  <si>
    <t>Points-Based </t>
  </si>
  <si>
    <t>Add more deals and discounts</t>
  </si>
  <si>
    <t>First time</t>
  </si>
  <si>
    <t>Specialty coffee drinks (lattes, mochas, cappuccinos, iced drinks, etc.);Breakfast sandwiches;Pastries &amp; baked goods;</t>
  </si>
  <si>
    <t>No</t>
  </si>
  <si>
    <t>Once a month</t>
  </si>
  <si>
    <t>Specialty coffee drinks (lattes, mochas, cappuccinos, iced drinks, etc.);Breakfast sandwiches;</t>
  </si>
  <si>
    <t>Yes</t>
  </si>
  <si>
    <t>N/A</t>
  </si>
  <si>
    <t>Specialty coffee drinks (lattes, mochas, cappuccinos, iced drinks, etc.);Pastries &amp; baked goods;</t>
  </si>
  <si>
    <t xml:space="preserve">No additional comments or concerns at this time, but the next time I'm in town, I'm definitely coming here. </t>
  </si>
  <si>
    <t>Breakfast sandwiches;Pastries &amp; baked goods;Specialty non-coffee drinks (tea, chai, matcha, etc.);</t>
  </si>
  <si>
    <t>Punch-Card </t>
  </si>
  <si>
    <t>Time to Complete</t>
  </si>
  <si>
    <t>Grand Total</t>
  </si>
  <si>
    <t>Interest in Loyalty Program</t>
  </si>
  <si>
    <t>Type of Loyalty System</t>
  </si>
  <si>
    <t>Count of System</t>
  </si>
  <si>
    <t>Count of Interest</t>
  </si>
  <si>
    <t>Reward Option</t>
  </si>
  <si>
    <t>Free Specialty Drink</t>
  </si>
  <si>
    <t>Kuppi Merch</t>
  </si>
  <si>
    <t>Free Pastry/Baked Good</t>
  </si>
  <si>
    <t>1 Point per $1 (Redeem for Free Food/Drink)</t>
  </si>
  <si>
    <t>Free Milk Upgrade</t>
  </si>
  <si>
    <t>Top Reward Ranking</t>
  </si>
  <si>
    <t>Specialty coffee drinks (lattes, mochas, cappuccinos, iced drinks, etc.)</t>
  </si>
  <si>
    <t>Menu Options</t>
  </si>
  <si>
    <t>Count of Menu Options</t>
  </si>
  <si>
    <t>Specialty non-coffee drinks (tea, chai, matcha, etc.)</t>
  </si>
  <si>
    <t>Drip coffee</t>
  </si>
  <si>
    <t>Pastries &amp; baked goods</t>
  </si>
  <si>
    <t>Breakfast sandwiches</t>
  </si>
  <si>
    <t xml:space="preserve">How likely are you to recommend Kuppi Coffee to someone? </t>
  </si>
  <si>
    <t xml:space="preserve">How satisfied are you with your overall experience at our cafe? </t>
  </si>
  <si>
    <t>Points-Based</t>
  </si>
  <si>
    <t>Earn 1 point for every $1, redeem 100 points for afree specialty drink or pastry of your choice;Earn a free specialty drink after every 10 drink purchases;Earn a free pastry or baked good after every 6 food purchases;Redeem 200 points for exclusive Kuppi Coffee merch (cups, stationary, tote bags);Earn a free specialty milk upgrade (oat, almond, macadamia) after every 10 drinks;</t>
  </si>
  <si>
    <t>Earn 1 point for every $1, redeem 100 points for afree specialty drink or pastry of your choice;Earn a free pastry or baked good after every 6 food purchases;Earn a free specialty drink after every 10 drink purchases;Redeem 200 points for exclusive Kuppi Coffee merch (cups, stationary, tote bags);Earn a free specialty milk upgrade (oat, almond, macadamia) after every 10 drinks;</t>
  </si>
  <si>
    <t>Earn 1 point for every $1, redeem 100 points for afree specialty drink or pastry of your choice;Redeem 200 points for exclusive Kuppi Coffee merch (cups, stationary, tote bags);Earn a free specialty milk upgrade (oat, almond, macadamia) after every 10 drinks;Earn a free specialty drink after every 10 drink purchases;Earn a free pastry or baked good after every 6 food purchases;</t>
  </si>
  <si>
    <t>Earn a free specialty drink after every 10 drink purchases;Redeem 200 points for exclusive Kuppi Coffee merch (cups, stationary, tote bags);Earn 1 point for every $1, redeem 100 points for afree specialty drink or pastry of your choice;Earn a free pastry or baked good after every 6 food purchases;Earn a free specialty milk upgrade (oat, almond, macadamia) after every 10 drinks;</t>
  </si>
  <si>
    <t>Punch-Card</t>
  </si>
  <si>
    <t>Earn a free pastry or baked good after every 6 food purchases;Earn a free specialty drink after every 10 drink purchases;Earn a free specialty milk upgrade (oat, almond, macadamia) after every 10 drinks;Earn 1 point for every $1, redeem 100 points for afree specialty drink or pastry of your choice;Redeem 200 points for exclusive Kuppi Coffee merch (cups, stationary, tote bags);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</si>
</sst>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hh:mm:ss"/>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164" fontId="0" fillId="0" borderId="0" xfId="0" applyNumberFormat="1"/>
    <xf numFmtId="45" fontId="0" fillId="0" borderId="0" xfId="0" applyNumberFormat="1"/>
    <xf numFmtId="0" fontId="0" fillId="0" borderId="0" xfId="0" applyAlignment="1">
      <alignment wrapText="1"/>
    </xf>
    <xf numFmtId="0" fontId="0" fillId="0" borderId="0" xfId="0" applyAlignment="1">
      <alignment vertical="top" wrapText="1"/>
    </xf>
    <xf numFmtId="0" fontId="0" fillId="0" borderId="0" xfId="0" applyAlignment="1">
      <alignment horizontal="left" vertical="top" wrapText="1"/>
    </xf>
    <xf numFmtId="0" fontId="0" fillId="0" borderId="0" xfId="0" applyAlignment="1">
      <alignment horizontal="left" vertical="center" wrapText="1"/>
    </xf>
    <xf numFmtId="0" fontId="0" fillId="0" borderId="0" xfId="0" applyAlignment="1">
      <alignment horizontal="left" vertical="center"/>
    </xf>
    <xf numFmtId="0" fontId="0" fillId="0" borderId="0" xfId="0" applyAlignment="1">
      <alignment vertical="center"/>
    </xf>
    <xf numFmtId="164" fontId="0" fillId="0" borderId="0" xfId="0" applyNumberFormat="1" applyAlignment="1">
      <alignment vertical="center"/>
    </xf>
    <xf numFmtId="0" fontId="0" fillId="0" borderId="0" xfId="0" applyAlignment="1">
      <alignment vertical="center" wrapText="1"/>
    </xf>
    <xf numFmtId="45" fontId="0" fillId="0" borderId="0" xfId="0" applyNumberFormat="1" applyAlignment="1">
      <alignment vertical="center"/>
    </xf>
    <xf numFmtId="0" fontId="0" fillId="0" borderId="0" xfId="0" applyAlignment="1">
      <alignment horizontal="center" vertical="center"/>
    </xf>
    <xf numFmtId="0" fontId="0" fillId="0" borderId="0" xfId="0" applyAlignment="1">
      <alignment horizontal="right" vertical="center"/>
    </xf>
    <xf numFmtId="164" fontId="0" fillId="0" borderId="0" xfId="0" applyNumberFormat="1" applyAlignment="1">
      <alignment horizontal="center" vertical="center"/>
    </xf>
    <xf numFmtId="0" fontId="0" fillId="0" borderId="0" xfId="0" applyAlignment="1">
      <alignment horizontal="center" vertical="center" wrapText="1"/>
    </xf>
    <xf numFmtId="0" fontId="0" fillId="0" borderId="0" xfId="0" applyAlignment="1">
      <alignment vertical="top"/>
    </xf>
    <xf numFmtId="0" fontId="0" fillId="0" borderId="1" xfId="0" pivotButton="1" applyBorder="1" applyAlignment="1">
      <alignment wrapText="1"/>
    </xf>
    <xf numFmtId="0" fontId="0" fillId="0" borderId="1" xfId="0" applyBorder="1" applyAlignment="1">
      <alignment vertical="top"/>
    </xf>
    <xf numFmtId="0" fontId="0" fillId="0" borderId="1" xfId="0" applyBorder="1" applyAlignment="1">
      <alignment horizontal="left" wrapText="1"/>
    </xf>
    <xf numFmtId="0" fontId="0" fillId="0" borderId="1" xfId="0" applyBorder="1"/>
    <xf numFmtId="0" fontId="0" fillId="0" borderId="1" xfId="0" applyBorder="1" applyAlignment="1">
      <alignment horizontal="left"/>
    </xf>
    <xf numFmtId="0" fontId="0" fillId="0" borderId="1" xfId="0" pivotButton="1" applyBorder="1"/>
    <xf numFmtId="0" fontId="0" fillId="0" borderId="1" xfId="0" applyBorder="1" applyAlignment="1">
      <alignment horizontal="left" vertical="center"/>
    </xf>
    <xf numFmtId="0" fontId="1" fillId="0" borderId="0" xfId="0" applyFont="1"/>
  </cellXfs>
  <cellStyles count="1">
    <cellStyle name="Normal" xfId="0" builtinId="0"/>
  </cellStyles>
  <dxfs count="42">
    <dxf>
      <alignment horizontal="general" vertical="bottom" textRotation="0" wrapText="1" indent="0" justifyLastLine="0" shrinkToFit="0" readingOrder="0"/>
    </dxf>
    <dxf>
      <numFmt numFmtId="28" formatCode="mm:ss"/>
    </dxf>
    <dxf>
      <numFmt numFmtId="164" formatCode="mm/dd/yyyy\ hh:mm:ss"/>
    </dxf>
    <dxf>
      <numFmt numFmtId="164" formatCode="mm/dd/yyyy\ hh:mm:ss"/>
    </dxf>
    <dxf>
      <numFmt numFmtId="0" formatCode="General"/>
      <alignment horizontal="general" vertical="center" textRotation="0" wrapText="1" indent="0" justifyLastLine="0" shrinkToFit="0" readingOrder="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wrapText="1"/>
    </dxf>
    <dxf>
      <alignment vertical="top"/>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dxf>
    <dxf>
      <alignment vertical="center"/>
    </dxf>
    <dxf>
      <alignment horizontal="left"/>
    </dxf>
    <dxf>
      <numFmt numFmtId="0" formatCode="General"/>
    </dxf>
    <dxf>
      <numFmt numFmtId="0" formatCode="General"/>
      <alignment vertical="center" textRotation="0"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vertical="center" textRotation="0" indent="0" justifyLastLine="0" shrinkToFit="0" readingOrder="0"/>
    </dxf>
    <dxf>
      <numFmt numFmtId="28" formatCode="mm:ss"/>
      <alignment vertical="center" textRotation="0" indent="0" justifyLastLine="0" shrinkToFit="0" readingOrder="0"/>
    </dxf>
    <dxf>
      <numFmt numFmtId="164" formatCode="mm/dd/yyyy\ hh:mm:ss"/>
      <alignment vertical="center" textRotation="0" indent="0" justifyLastLine="0" shrinkToFit="0" readingOrder="0"/>
    </dxf>
    <dxf>
      <numFmt numFmtId="164" formatCode="mm/dd/yyyy\ hh:mm:ss"/>
      <alignment vertical="center" textRotation="0" indent="0" justifyLastLine="0" shrinkToFit="0" readingOrder="0"/>
    </dxf>
    <dxf>
      <numFmt numFmtId="0" formatCode="General"/>
      <alignment horizontal="right" vertical="center" textRotation="0" wrapText="0" indent="0" justifyLastLine="0" shrinkToFit="0" readingOrder="0"/>
    </dxf>
    <dxf>
      <alignment horizontal="center" vertical="center" textRotation="0" indent="0" justifyLastLine="0" shrinkToFit="0" readingOrder="0"/>
    </dxf>
  </dxfs>
  <tableStyles count="0" defaultTableStyle="TableStyleMedium2" defaultPivotStyle="PivotStyleLight16"/>
  <colors>
    <mruColors>
      <color rgb="FFBD9A7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latin typeface="+mn-lt"/>
                <a:cs typeface="Centaur Now Caption" panose="020F0502020204030204" pitchFamily="2" charset="0"/>
              </a:rPr>
              <a:t>Interest in a Rewards Program</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pivotFmt>
      <c:pivotFmt>
        <c:idx val="3"/>
        <c:spPr>
          <a:solidFill>
            <a:schemeClr val="accent5"/>
          </a:solidFill>
          <a:ln>
            <a:noFill/>
          </a:ln>
          <a:effectLst/>
        </c:spPr>
      </c:pivotFmt>
      <c:pivotFmt>
        <c:idx val="4"/>
        <c:spPr>
          <a:solidFill>
            <a:schemeClr val="accent5"/>
          </a:solidFill>
          <a:ln>
            <a:noFill/>
          </a:ln>
          <a:effectLst>
            <a:outerShdw blurRad="254000" sx="102000" sy="102000" algn="ctr" rotWithShape="0">
              <a:prstClr val="black">
                <a:alpha val="20000"/>
              </a:prstClr>
            </a:outerShdw>
          </a:effectLst>
        </c:spPr>
        <c:marker>
          <c:symbol val="none"/>
        </c:marker>
        <c:dLbl>
          <c:idx val="0"/>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5"/>
          </a:solidFill>
          <a:ln>
            <a:noFill/>
          </a:ln>
          <a:effectLst>
            <a:outerShdw blurRad="254000" sx="102000" sy="102000" algn="ctr" rotWithShape="0">
              <a:prstClr val="black">
                <a:alpha val="20000"/>
              </a:prstClr>
            </a:outerShdw>
          </a:effectLst>
        </c:spPr>
      </c:pivotFmt>
      <c:pivotFmt>
        <c:idx val="6"/>
        <c:spPr>
          <a:solidFill>
            <a:schemeClr val="accent5"/>
          </a:solidFill>
          <a:ln>
            <a:noFill/>
          </a:ln>
          <a:effectLst>
            <a:outerShdw blurRad="254000" sx="102000" sy="102000" algn="ctr" rotWithShape="0">
              <a:prstClr val="black">
                <a:alpha val="20000"/>
              </a:prstClr>
            </a:outerShdw>
          </a:effectLst>
        </c:spPr>
      </c:pivotFmt>
    </c:pivotFmts>
    <c:plotArea>
      <c:layout/>
      <c:pieChart>
        <c:varyColors val="1"/>
        <c:ser>
          <c:idx val="0"/>
          <c:order val="0"/>
          <c:tx>
            <c:v>Total</c:v>
          </c:tx>
          <c:dPt>
            <c:idx val="0"/>
            <c:bubble3D val="0"/>
            <c:spPr>
              <a:solidFill>
                <a:schemeClr val="accent5">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3DF-4E90-A796-0346718A50A6}"/>
              </c:ext>
            </c:extLst>
          </c:dPt>
          <c:dPt>
            <c:idx val="1"/>
            <c:bubble3D val="0"/>
            <c:spPr>
              <a:solidFill>
                <a:schemeClr val="accent5">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3DF-4E90-A796-0346718A50A6}"/>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Lit>
              <c:ptCount val="2"/>
              <c:pt idx="0">
                <c:v>Maybe, depending on the rewards</c:v>
              </c:pt>
              <c:pt idx="1">
                <c:v>Yes</c:v>
              </c:pt>
            </c:strLit>
          </c:cat>
          <c:val>
            <c:numLit>
              <c:formatCode>General</c:formatCode>
              <c:ptCount val="2"/>
              <c:pt idx="0">
                <c:v>2</c:v>
              </c:pt>
              <c:pt idx="1">
                <c:v>3</c:v>
              </c:pt>
            </c:numLit>
          </c:val>
          <c:extLst>
            <c:ext xmlns:c16="http://schemas.microsoft.com/office/drawing/2014/chart" uri="{C3380CC4-5D6E-409C-BE32-E72D297353CC}">
              <c16:uniqueId val="{00000004-83DF-4E90-A796-0346718A50A6}"/>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latin typeface="+mn-lt"/>
                <a:cs typeface="Aparajita" panose="020B0502040204020203" pitchFamily="18" charset="0"/>
              </a:rPr>
              <a:t>Rewards System Preference</a:t>
            </a:r>
          </a:p>
        </c:rich>
      </c:tx>
      <c:layout>
        <c:manualLayout>
          <c:xMode val="edge"/>
          <c:yMode val="edge"/>
          <c:x val="0.19384779113640616"/>
          <c:y val="5.109620139926238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2"/>
              <c:pt idx="0">
                <c:v>Points-Based </c:v>
              </c:pt>
              <c:pt idx="1">
                <c:v>Punch-Card </c:v>
              </c:pt>
            </c:strLit>
          </c:cat>
          <c:val>
            <c:numLit>
              <c:formatCode>General</c:formatCode>
              <c:ptCount val="2"/>
              <c:pt idx="0">
                <c:v>4</c:v>
              </c:pt>
              <c:pt idx="1">
                <c:v>1</c:v>
              </c:pt>
            </c:numLit>
          </c:val>
          <c:extLst>
            <c:ext xmlns:c16="http://schemas.microsoft.com/office/drawing/2014/chart" uri="{C3380CC4-5D6E-409C-BE32-E72D297353CC}">
              <c16:uniqueId val="{00000000-4771-4DDC-A7B3-D7F3F05240D1}"/>
            </c:ext>
          </c:extLst>
        </c:ser>
        <c:dLbls>
          <c:showLegendKey val="0"/>
          <c:showVal val="0"/>
          <c:showCatName val="0"/>
          <c:showSerName val="0"/>
          <c:showPercent val="0"/>
          <c:showBubbleSize val="0"/>
        </c:dLbls>
        <c:gapWidth val="100"/>
        <c:overlap val="-24"/>
        <c:axId val="157717951"/>
        <c:axId val="157711231"/>
      </c:barChart>
      <c:catAx>
        <c:axId val="15771795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711231"/>
        <c:crosses val="autoZero"/>
        <c:auto val="1"/>
        <c:lblAlgn val="ctr"/>
        <c:lblOffset val="100"/>
        <c:noMultiLvlLbl val="0"/>
      </c:catAx>
      <c:valAx>
        <c:axId val="157711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717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latin typeface="+mn-lt"/>
              </a:rPr>
              <a:t>Top Reward Ranking</a:t>
            </a:r>
          </a:p>
        </c:rich>
      </c:tx>
      <c:layout>
        <c:manualLayout>
          <c:xMode val="edge"/>
          <c:yMode val="edge"/>
          <c:x val="0.29229855643044622"/>
          <c:y val="5.0925925925925923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tx>
            <c:strRef>
              <c:f>Loyalty_Rewards_Program!$B$34</c:f>
              <c:strCache>
                <c:ptCount val="1"/>
                <c:pt idx="0">
                  <c:v>Top Reward Ranking</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5AD-4B96-B9D4-D2ED3B4A930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5AD-4B96-B9D4-D2ED3B4A9303}"/>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5AD-4B96-B9D4-D2ED3B4A9303}"/>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B5AD-4B96-B9D4-D2ED3B4A9303}"/>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B5AD-4B96-B9D4-D2ED3B4A9303}"/>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Loyalty_Rewards_Program!$A$35:$A$39</c:f>
              <c:strCache>
                <c:ptCount val="5"/>
                <c:pt idx="0">
                  <c:v>Free Specialty Drink</c:v>
                </c:pt>
                <c:pt idx="1">
                  <c:v>Free Pastry/Baked Good</c:v>
                </c:pt>
                <c:pt idx="2">
                  <c:v>1 Point per $1 (Redeem for Free Food/Drink)</c:v>
                </c:pt>
                <c:pt idx="3">
                  <c:v>Free Milk Upgrade</c:v>
                </c:pt>
                <c:pt idx="4">
                  <c:v>Kuppi Merch</c:v>
                </c:pt>
              </c:strCache>
            </c:strRef>
          </c:cat>
          <c:val>
            <c:numRef>
              <c:f>Loyalty_Rewards_Program!$B$35:$B$39</c:f>
              <c:numCache>
                <c:formatCode>General</c:formatCode>
                <c:ptCount val="5"/>
                <c:pt idx="0">
                  <c:v>1</c:v>
                </c:pt>
                <c:pt idx="1">
                  <c:v>1</c:v>
                </c:pt>
                <c:pt idx="2">
                  <c:v>0</c:v>
                </c:pt>
                <c:pt idx="3">
                  <c:v>0</c:v>
                </c:pt>
                <c:pt idx="4">
                  <c:v>0</c:v>
                </c:pt>
              </c:numCache>
            </c:numRef>
          </c:val>
          <c:extLst>
            <c:ext xmlns:c16="http://schemas.microsoft.com/office/drawing/2014/chart" uri="{C3380CC4-5D6E-409C-BE32-E72D297353CC}">
              <c16:uniqueId val="{00000000-A151-4A3C-A400-0D9767C3C4F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bar"/>
        <c:grouping val="clustered"/>
        <c:varyColors val="0"/>
        <c:ser>
          <c:idx val="0"/>
          <c:order val="0"/>
          <c:tx>
            <c:strRef>
              <c:f>'Menu Purchases'!$B$1</c:f>
              <c:strCache>
                <c:ptCount val="1"/>
                <c:pt idx="0">
                  <c:v>Count of Menu Options</c:v>
                </c:pt>
              </c:strCache>
            </c:strRef>
          </c:tx>
          <c:spPr>
            <a:solidFill>
              <a:schemeClr val="accent5">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'Menu Purchases'!$A$2:$A$6</c:f>
              <c:strCache>
                <c:ptCount val="5"/>
                <c:pt idx="0">
                  <c:v>Drip coffee</c:v>
                </c:pt>
                <c:pt idx="1">
                  <c:v>Specialty coffee drinks (lattes, mochas, cappuccinos, iced drinks, etc.)</c:v>
                </c:pt>
                <c:pt idx="2">
                  <c:v>Specialty non-coffee drinks (tea, chai, matcha, etc.)</c:v>
                </c:pt>
                <c:pt idx="3">
                  <c:v>Breakfast sandwiches</c:v>
                </c:pt>
                <c:pt idx="4">
                  <c:v>Pastries &amp; baked goods</c:v>
                </c:pt>
              </c:strCache>
            </c:strRef>
          </c:cat>
          <c:val>
            <c:numRef>
              <c:f>'Menu Purchases'!$B$2:$B$6</c:f>
              <c:numCache>
                <c:formatCode>General</c:formatCode>
                <c:ptCount val="5"/>
                <c:pt idx="0">
                  <c:v>0</c:v>
                </c:pt>
                <c:pt idx="1">
                  <c:v>4</c:v>
                </c:pt>
                <c:pt idx="2">
                  <c:v>1</c:v>
                </c:pt>
                <c:pt idx="3">
                  <c:v>4</c:v>
                </c:pt>
                <c:pt idx="4">
                  <c:v>3</c:v>
                </c:pt>
              </c:numCache>
            </c:numRef>
          </c:val>
          <c:extLst>
            <c:ext xmlns:c16="http://schemas.microsoft.com/office/drawing/2014/chart" uri="{C3380CC4-5D6E-409C-BE32-E72D297353CC}">
              <c16:uniqueId val="{00000000-BEFA-48EA-8FD1-5C3F19CCC94A}"/>
            </c:ext>
          </c:extLst>
        </c:ser>
        <c:dLbls>
          <c:dLblPos val="inEnd"/>
          <c:showLegendKey val="0"/>
          <c:showVal val="1"/>
          <c:showCatName val="0"/>
          <c:showSerName val="0"/>
          <c:showPercent val="0"/>
          <c:showBubbleSize val="0"/>
        </c:dLbls>
        <c:gapWidth val="65"/>
        <c:axId val="160590527"/>
        <c:axId val="160591007"/>
      </c:barChart>
      <c:catAx>
        <c:axId val="16059052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0591007"/>
        <c:crosses val="autoZero"/>
        <c:auto val="1"/>
        <c:lblAlgn val="ctr"/>
        <c:lblOffset val="100"/>
        <c:noMultiLvlLbl val="0"/>
      </c:catAx>
      <c:valAx>
        <c:axId val="160591007"/>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60590527"/>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190500</xdr:colOff>
      <xdr:row>0</xdr:row>
      <xdr:rowOff>0</xdr:rowOff>
    </xdr:from>
    <xdr:to>
      <xdr:col>9</xdr:col>
      <xdr:colOff>228600</xdr:colOff>
      <xdr:row>14</xdr:row>
      <xdr:rowOff>28575</xdr:rowOff>
    </xdr:to>
    <xdr:graphicFrame macro="">
      <xdr:nvGraphicFramePr>
        <xdr:cNvPr id="3" name="Chart 2">
          <a:extLst>
            <a:ext uri="{FF2B5EF4-FFF2-40B4-BE49-F238E27FC236}">
              <a16:creationId xmlns:a16="http://schemas.microsoft.com/office/drawing/2014/main" id="{2B3EDB33-38A9-4D57-A04D-79F5DF2E4C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185738</xdr:colOff>
      <xdr:row>15</xdr:row>
      <xdr:rowOff>33337</xdr:rowOff>
    </xdr:from>
    <xdr:to>
      <xdr:col>9</xdr:col>
      <xdr:colOff>314326</xdr:colOff>
      <xdr:row>30</xdr:row>
      <xdr:rowOff>100012</xdr:rowOff>
    </xdr:to>
    <xdr:graphicFrame macro="">
      <xdr:nvGraphicFramePr>
        <xdr:cNvPr id="4" name="Chart 3">
          <a:extLst>
            <a:ext uri="{FF2B5EF4-FFF2-40B4-BE49-F238E27FC236}">
              <a16:creationId xmlns:a16="http://schemas.microsoft.com/office/drawing/2014/main" id="{C0A37FDD-F34B-4901-860F-7612D04AB4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211930</xdr:colOff>
      <xdr:row>31</xdr:row>
      <xdr:rowOff>173831</xdr:rowOff>
    </xdr:from>
    <xdr:to>
      <xdr:col>9</xdr:col>
      <xdr:colOff>250030</xdr:colOff>
      <xdr:row>46</xdr:row>
      <xdr:rowOff>21431</xdr:rowOff>
    </xdr:to>
    <xdr:graphicFrame macro="">
      <xdr:nvGraphicFramePr>
        <xdr:cNvPr id="5" name="Chart 4">
          <a:extLst>
            <a:ext uri="{FF2B5EF4-FFF2-40B4-BE49-F238E27FC236}">
              <a16:creationId xmlns:a16="http://schemas.microsoft.com/office/drawing/2014/main" id="{F0E4F760-8DA5-F959-E229-0A781EF5D8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78581</xdr:colOff>
      <xdr:row>6</xdr:row>
      <xdr:rowOff>69056</xdr:rowOff>
    </xdr:from>
    <xdr:to>
      <xdr:col>4</xdr:col>
      <xdr:colOff>54768</xdr:colOff>
      <xdr:row>21</xdr:row>
      <xdr:rowOff>97631</xdr:rowOff>
    </xdr:to>
    <xdr:graphicFrame macro="">
      <xdr:nvGraphicFramePr>
        <xdr:cNvPr id="3" name="Chart 2">
          <a:extLst>
            <a:ext uri="{FF2B5EF4-FFF2-40B4-BE49-F238E27FC236}">
              <a16:creationId xmlns:a16="http://schemas.microsoft.com/office/drawing/2014/main" id="{8F52D4D8-1599-FE07-3BFB-377F5C28AD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0</xdr:col>
      <xdr:colOff>214313</xdr:colOff>
      <xdr:row>0</xdr:row>
      <xdr:rowOff>128586</xdr:rowOff>
    </xdr:from>
    <xdr:ext cx="5276850" cy="3536866"/>
    <xdr:sp macro="" textlink="">
      <xdr:nvSpPr>
        <xdr:cNvPr id="2" name="TextBox 1">
          <a:extLst>
            <a:ext uri="{FF2B5EF4-FFF2-40B4-BE49-F238E27FC236}">
              <a16:creationId xmlns:a16="http://schemas.microsoft.com/office/drawing/2014/main" id="{68B18588-DF70-F474-2428-2E3D46D9A427}"/>
            </a:ext>
          </a:extLst>
        </xdr:cNvPr>
        <xdr:cNvSpPr txBox="1"/>
      </xdr:nvSpPr>
      <xdr:spPr>
        <a:xfrm>
          <a:off x="214313" y="128586"/>
          <a:ext cx="5276850" cy="3536866"/>
        </a:xfrm>
        <a:prstGeom prst="rect">
          <a:avLst/>
        </a:prstGeom>
        <a:solidFill>
          <a:srgbClr val="BD9A7A"/>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a:effectLst/>
            </a:rPr>
            <a:t>Survey results indicate that although Kuppi Coffee Company has a relatively new consumer base, the overall customer satisfaction rate is a five out of five, largely due to the in-store experience and amenities,</a:t>
          </a:r>
          <a:r>
            <a:rPr lang="en-US" baseline="0">
              <a:effectLst/>
            </a:rPr>
            <a:t> which collectively has an average rating of 4.6</a:t>
          </a:r>
        </a:p>
        <a:p>
          <a:endParaRPr lang="en-US">
            <a:effectLst/>
          </a:endParaRPr>
        </a:p>
        <a:p>
          <a:pPr rtl="0"/>
          <a:r>
            <a:rPr lang="en-US" sz="1100" b="0" i="0">
              <a:solidFill>
                <a:schemeClr val="tx1"/>
              </a:solidFill>
              <a:effectLst/>
              <a:latin typeface="+mn-lt"/>
              <a:ea typeface="+mn-ea"/>
              <a:cs typeface="+mn-cs"/>
            </a:rPr>
            <a:t>Additionally, survey responses indicate that 60% of respondents said yes to a loyalty rewards program, with the remaining 40% expressing conditional interest depending on the rewards offered. Overall, no respondents were opposed to the program, with 80% preferring a points-based system over a punch-card style loyalty program.</a:t>
          </a:r>
          <a:endParaRPr lang="en-US">
            <a:effectLst/>
          </a:endParaRPr>
        </a:p>
        <a:p>
          <a:endParaRPr lang="en-US">
            <a:effectLst/>
          </a:endParaRPr>
        </a:p>
        <a:p>
          <a:r>
            <a:rPr lang="en-US">
              <a:effectLst/>
            </a:rPr>
            <a:t>Results indicate that the top preferred reward is a points-based redemption system where customers earn one point for every dollar spent, redeemable for free specialty drinks or food items. This aligns with purchase trends, as specialty coffee drinks and breakfast sandwiches are the most frequently ordered items.</a:t>
          </a:r>
          <a:endParaRPr lang="en-US" sz="1100" b="0" i="0" u="none" strike="noStrike">
            <a:solidFill>
              <a:schemeClr val="tx1"/>
            </a:solidFill>
            <a:effectLst/>
            <a:latin typeface="+mn-lt"/>
            <a:ea typeface="+mn-ea"/>
            <a:cs typeface="+mn-cs"/>
          </a:endParaRPr>
        </a:p>
        <a:p>
          <a:pPr rtl="0"/>
          <a:endParaRPr lang="en-US" b="0">
            <a:effectLst/>
          </a:endParaRPr>
        </a:p>
        <a:p>
          <a:pPr rtl="0"/>
          <a:r>
            <a:rPr lang="en-US" sz="1100" b="0" i="0" u="none" strike="noStrike">
              <a:solidFill>
                <a:schemeClr val="tx1"/>
              </a:solidFill>
              <a:effectLst/>
              <a:latin typeface="+mn-lt"/>
              <a:ea typeface="+mn-ea"/>
              <a:cs typeface="+mn-cs"/>
            </a:rPr>
            <a:t>To expand Kuppi's clientele and convert its new consumer base into loyal customers, a points-based redemption loyalty program that targets specialty drinks and food purchases would likely yield the best results, as long as food and beverage quality and the in-store experience remain high. </a:t>
          </a:r>
          <a:endParaRPr lang="en-US" b="0">
            <a:effectLst/>
          </a:endParaRPr>
        </a:p>
        <a:p>
          <a:br>
            <a:rPr lang="en-US"/>
          </a:br>
          <a:endParaRPr lang="en-US" sz="11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rleen Guerro" refreshedDate="46122.952830787035" createdVersion="8" refreshedVersion="8" minRefreshableVersion="3" recordCount="5" xr:uid="{DD154EF7-8459-48BC-87B7-9F2B8C735A56}">
  <cacheSource type="worksheet">
    <worksheetSource name="Table1"/>
  </cacheSource>
  <cacheFields count="19">
    <cacheField name="ID" numFmtId="0">
      <sharedItems containsSemiMixedTypes="0" containsString="0" containsNumber="1" containsInteger="1" minValue="1" maxValue="5"/>
    </cacheField>
    <cacheField name="Start time" numFmtId="164">
      <sharedItems containsSemiMixedTypes="0" containsNonDate="0" containsDate="1" containsString="0" minDate="2026-04-08T22:58:41" maxDate="2026-04-10T01:07:40"/>
    </cacheField>
    <cacheField name="Completion time" numFmtId="164">
      <sharedItems containsSemiMixedTypes="0" containsNonDate="0" containsDate="1" containsString="0" minDate="2026-04-08T23:01:26" maxDate="2026-04-10T01:08:48"/>
    </cacheField>
    <cacheField name="Time to Complete" numFmtId="45">
      <sharedItems containsSemiMixedTypes="0" containsNonDate="0" containsDate="1" containsString="0" minDate="1899-12-30T00:01:08" maxDate="1899-12-30T00:03:01"/>
    </cacheField>
    <cacheField name="Email" numFmtId="0">
      <sharedItems/>
    </cacheField>
    <cacheField name="How often do you visit Kuppi Coffee?" numFmtId="0">
      <sharedItems/>
    </cacheField>
    <cacheField name="How satisfied are you with your overall experience at our cafe? (1 = Very Dissatisfied → 5 = Very Satisfied)" numFmtId="0">
      <sharedItems containsSemiMixedTypes="0" containsString="0" containsNumber="1" containsInteger="1" minValue="5" maxValue="5"/>
    </cacheField>
    <cacheField name="Which of the following do you typically order at Kuppi Coffee? (select all that apply)" numFmtId="0">
      <sharedItems count="5">
        <s v="Breakfast sandwiches;Specialty coffee drinks (lattes, mochas, cappuccinos, iced drinks, etc.);"/>
        <s v="Specialty coffee drinks (lattes, mochas, cappuccinos, iced drinks, etc.);Breakfast sandwiches;Pastries &amp; baked goods;"/>
        <s v="Specialty coffee drinks (lattes, mochas, cappuccinos, iced drinks, etc.);Breakfast sandwiches;"/>
        <s v="Specialty coffee drinks (lattes, mochas, cappuccinos, iced drinks, etc.);Pastries &amp; baked goods;"/>
        <s v="Breakfast sandwiches;Pastries &amp; baked goods;Specialty non-coffee drinks (tea, chai, matcha, etc.);"/>
      </sharedItems>
    </cacheField>
    <cacheField name="Staff Friendliness" numFmtId="0">
      <sharedItems/>
    </cacheField>
    <cacheField name="Speed of Service" numFmtId="0">
      <sharedItems/>
    </cacheField>
    <cacheField name="Cleanliness" numFmtId="0">
      <sharedItems/>
    </cacheField>
    <cacheField name="Wi-Fi Quality" numFmtId="0">
      <sharedItems/>
    </cacheField>
    <cacheField name="Seating Comfort" numFmtId="0">
      <sharedItems/>
    </cacheField>
    <cacheField name="Food &amp; Drink Quality" numFmtId="0">
      <sharedItems count="2">
        <s v="Very Satisfied"/>
        <s v="Satisfied"/>
      </sharedItems>
    </cacheField>
    <cacheField name="How likely are you to recommend Kuppi Coffee to someone? (1 = Not at all likely → 10 = Extremely likely)" numFmtId="0">
      <sharedItems containsSemiMixedTypes="0" containsString="0" containsNumber="1" containsInteger="1" minValue="8" maxValue="10"/>
    </cacheField>
    <cacheField name="Would you be interested in a loyalty/rewards program at Kuppi Coffee?" numFmtId="0">
      <sharedItems count="2">
        <s v="Maybe, depending on the rewards"/>
        <s v="Yes"/>
      </sharedItems>
    </cacheField>
    <cacheField name="Would you prefer a punch-card style reward or a points-based system? (Please select one)" numFmtId="0">
      <sharedItems count="2">
        <s v="Points-Based "/>
        <s v="Punch-Card "/>
      </sharedItems>
    </cacheField>
    <cacheField name="Please rank the following rewards you would be most interested in (1 = most interest)" numFmtId="0">
      <sharedItems longText="1"/>
    </cacheField>
    <cacheField name="Any additional comments or concern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n v="1"/>
    <d v="2026-04-08T22:58:41"/>
    <d v="2026-04-08T23:01:26"/>
    <d v="1899-12-30T00:02:45"/>
    <s v="anonymous"/>
    <s v="Once a week"/>
    <n v="5"/>
    <x v="0"/>
    <s v="Very Satisfied"/>
    <s v="Satisfied"/>
    <s v="Very Satisfied"/>
    <s v="Neutral"/>
    <s v="Very Satisfied"/>
    <x v="0"/>
    <n v="9"/>
    <x v="0"/>
    <x v="0"/>
    <s v="Earn 1 point for every $1, redeem 100 points for a free specialty drink or pastry of your choice;Earn a free specialty drink after every 10 drink purchases;Earn a free pastry or baked good after every 6 food purchases;Redeem 200 points for exclusive Kuppi Coffee merch (cups, stationary, tote bags);Earn a free specialty milk upgrade (oat, almond, macadamia) after every 10 drinks;"/>
    <s v="Add more deals and discounts"/>
  </r>
  <r>
    <n v="2"/>
    <d v="2026-04-09T09:45:04"/>
    <d v="2026-04-09T09:48:05"/>
    <d v="1899-12-30T00:03:01"/>
    <s v="anonymous"/>
    <s v="First time"/>
    <n v="5"/>
    <x v="1"/>
    <s v="Neutral"/>
    <s v="Satisfied"/>
    <s v="Satisfied"/>
    <s v="Satisfied"/>
    <s v="Satisfied"/>
    <x v="1"/>
    <n v="8"/>
    <x v="0"/>
    <x v="0"/>
    <s v="Earn 1 point for every $1, redeem 100 points for a free specialty drink or pastry of your choice;Earn a free pastry or baked good after every 6 food purchases;Earn a free specialty drink after every 10 drink purchases;Redeem 200 points for exclusive Kuppi Coffee merch (cups, stationary, tote bags);Earn a free specialty milk upgrade (oat, almond, macadamia) after every 10 drinks;"/>
    <s v="No"/>
  </r>
  <r>
    <n v="3"/>
    <d v="2026-04-09T09:48:01"/>
    <d v="2026-04-09T09:49:52"/>
    <d v="1899-12-30T00:01:51"/>
    <s v="anonymous"/>
    <s v="Once a month"/>
    <n v="5"/>
    <x v="2"/>
    <s v="Very Satisfied"/>
    <s v="Very Satisfied"/>
    <s v="Very Satisfied"/>
    <s v="Very Satisfied"/>
    <s v="Very Satisfied"/>
    <x v="0"/>
    <n v="10"/>
    <x v="1"/>
    <x v="0"/>
    <s v="Earn 1 point for every $1, redeem 100 points for a free specialty drink or pastry of your choice;Redeem 200 points for exclusive Kuppi Coffee merch (cups, stationary, tote bags);Earn a free specialty milk upgrade (oat, almond, macadamia) after every 10 drinks;Earn a free specialty drink after every 10 drink purchases;Earn a free pastry or baked good after every 6 food purchases;"/>
    <s v="N/A"/>
  </r>
  <r>
    <n v="4"/>
    <d v="2026-04-09T11:43:07"/>
    <d v="2026-04-09T11:45:46"/>
    <d v="1899-12-30T00:02:39"/>
    <s v="anonymous"/>
    <s v="First time"/>
    <n v="5"/>
    <x v="3"/>
    <s v="Very Satisfied"/>
    <s v="Satisfied"/>
    <s v="Very Satisfied"/>
    <s v="Very Satisfied"/>
    <s v="Very Satisfied"/>
    <x v="1"/>
    <n v="9"/>
    <x v="1"/>
    <x v="0"/>
    <s v="Earn a free specialty drink after every 10 drink purchases;Redeem 200 points for exclusive Kuppi Coffee merch (cups, stationary, tote bags);Earn 1 point for every $1, redeem 100 points for a free specialty drink or pastry of your choice;Earn a free pastry or baked good after every 6 food purchases;Earn a free specialty milk upgrade (oat, almond, macadamia) after every 10 drinks;"/>
    <s v="No additional comments or concerns at this time, but the next time I'm in town, I'm definitely coming here. "/>
  </r>
  <r>
    <n v="5"/>
    <d v="2026-04-10T01:07:40"/>
    <d v="2026-04-10T01:08:48"/>
    <d v="1899-12-30T00:01:08"/>
    <s v="anonymous"/>
    <s v="First time"/>
    <n v="5"/>
    <x v="4"/>
    <s v="Very Satisfied"/>
    <s v="Very Satisfied"/>
    <s v="Very Satisfied"/>
    <s v="Very Satisfied"/>
    <s v="Very Satisfied"/>
    <x v="0"/>
    <n v="10"/>
    <x v="1"/>
    <x v="1"/>
    <s v="Earn a free pastry or baked good after every 6 food purchases;Earn a free specialty drink after every 10 drink purchases;Earn a free specialty milk upgrade (oat, almond, macadamia) after every 10 drinks;Earn 1 point for every $1, redeem 100 points for a free specialty drink or pastry of your choice;Redeem 200 points for exclusive Kuppi Coffee merch (cups, stationary, tote bags);"/>
    <s v="N/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E202CC2-66D6-43A3-8832-B82793539121}"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Interest in Loyalty Program">
  <location ref="A1:B4" firstHeaderRow="1" firstDataRow="1" firstDataCol="1"/>
  <pivotFields count="19">
    <pivotField dataField="1" showAll="0"/>
    <pivotField numFmtId="164" showAll="0"/>
    <pivotField numFmtId="164" showAll="0"/>
    <pivotField numFmtId="45"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s>
  <rowFields count="1">
    <field x="15"/>
  </rowFields>
  <rowItems count="3">
    <i>
      <x/>
    </i>
    <i>
      <x v="1"/>
    </i>
    <i t="grand">
      <x/>
    </i>
  </rowItems>
  <colItems count="1">
    <i/>
  </colItems>
  <dataFields count="1">
    <dataField name="Count of Interest" fld="0" subtotal="count" baseField="15" baseItem="0"/>
  </dataFields>
  <formats count="9">
    <format dxfId="13">
      <pivotArea field="15" type="button" dataOnly="0" labelOnly="1" outline="0" axis="axisRow" fieldPosition="0"/>
    </format>
    <format dxfId="12">
      <pivotArea dataOnly="0" labelOnly="1" outline="0" axis="axisValues" fieldPosition="0"/>
    </format>
    <format dxfId="11">
      <pivotArea dataOnly="0" labelOnly="1" fieldPosition="0">
        <references count="1">
          <reference field="15" count="1">
            <x v="0"/>
          </reference>
        </references>
      </pivotArea>
    </format>
    <format dxfId="10">
      <pivotArea type="all" dataOnly="0" outline="0" fieldPosition="0"/>
    </format>
    <format dxfId="9">
      <pivotArea outline="0" collapsedLevelsAreSubtotals="1" fieldPosition="0"/>
    </format>
    <format dxfId="8">
      <pivotArea field="15" type="button" dataOnly="0" labelOnly="1" outline="0" axis="axisRow" fieldPosition="0"/>
    </format>
    <format dxfId="7">
      <pivotArea dataOnly="0" labelOnly="1" fieldPosition="0">
        <references count="1">
          <reference field="15" count="0"/>
        </references>
      </pivotArea>
    </format>
    <format dxfId="6">
      <pivotArea dataOnly="0" labelOnly="1" grandRow="1" outline="0" fieldPosition="0"/>
    </format>
    <format dxfId="5">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16C2FB4-748C-49E0-B7CB-D09E4EAB8E0C}"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Type of Loyalty System">
  <location ref="A17:B20" firstHeaderRow="1" firstDataRow="1" firstDataCol="1"/>
  <pivotFields count="19">
    <pivotField showAll="0"/>
    <pivotField numFmtId="164" showAll="0"/>
    <pivotField numFmtId="164" showAll="0"/>
    <pivotField numFmtId="45" showAll="0"/>
    <pivotField showAll="0"/>
    <pivotField showAll="0"/>
    <pivotField showAll="0"/>
    <pivotField showAll="0">
      <items count="6">
        <item x="4"/>
        <item x="0"/>
        <item x="2"/>
        <item x="1"/>
        <item x="3"/>
        <item t="default"/>
      </items>
    </pivotField>
    <pivotField showAll="0"/>
    <pivotField showAll="0"/>
    <pivotField showAll="0"/>
    <pivotField showAll="0"/>
    <pivotField showAll="0"/>
    <pivotField showAll="0">
      <items count="3">
        <item x="1"/>
        <item x="0"/>
        <item t="default"/>
      </items>
    </pivotField>
    <pivotField showAll="0"/>
    <pivotField showAll="0"/>
    <pivotField axis="axisRow" showAll="0">
      <items count="3">
        <item x="0"/>
        <item x="1"/>
        <item t="default"/>
      </items>
    </pivotField>
    <pivotField dataField="1" showAll="0"/>
    <pivotField showAll="0"/>
  </pivotFields>
  <rowFields count="1">
    <field x="16"/>
  </rowFields>
  <rowItems count="3">
    <i>
      <x/>
    </i>
    <i>
      <x v="1"/>
    </i>
    <i t="grand">
      <x/>
    </i>
  </rowItems>
  <colItems count="1">
    <i/>
  </colItems>
  <dataFields count="1">
    <dataField name="Count of System" fld="17" subtotal="count" baseField="16" baseItem="0"/>
  </dataFields>
  <formats count="9">
    <format dxfId="22">
      <pivotArea dataOnly="0" outline="0" axis="axisValues" fieldPosition="0"/>
    </format>
    <format dxfId="21">
      <pivotArea dataOnly="0" outline="0" axis="axisValues" fieldPosition="0"/>
    </format>
    <format dxfId="20">
      <pivotArea field="16" type="button" dataOnly="0" labelOnly="1" outline="0" axis="axisRow" fieldPosition="0"/>
    </format>
    <format dxfId="19">
      <pivotArea type="all" dataOnly="0" outline="0" fieldPosition="0"/>
    </format>
    <format dxfId="18">
      <pivotArea outline="0" collapsedLevelsAreSubtotals="1" fieldPosition="0"/>
    </format>
    <format dxfId="17">
      <pivotArea field="16" type="button" dataOnly="0" labelOnly="1" outline="0" axis="axisRow" fieldPosition="0"/>
    </format>
    <format dxfId="16">
      <pivotArea dataOnly="0" labelOnly="1" fieldPosition="0">
        <references count="1">
          <reference field="16" count="0"/>
        </references>
      </pivotArea>
    </format>
    <format dxfId="15">
      <pivotArea dataOnly="0" labelOnly="1" grandRow="1" outline="0" fieldPosition="0"/>
    </format>
    <format dxfId="14">
      <pivotArea dataOnly="0" labelOnly="1" outline="0" axis="axisValues" fieldPosition="0"/>
    </format>
  </formats>
  <chartFormats count="4">
    <chartFormat chart="0"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S7" totalsRowCount="1" headerRowDxfId="41">
  <autoFilter ref="A1:S6" xr:uid="{00000000-0009-0000-0100-000001000000}"/>
  <tableColumns count="19">
    <tableColumn id="1" xr3:uid="{00000000-0010-0000-0000-000001000000}" name="ID" dataDxfId="40"/>
    <tableColumn id="2" xr3:uid="{00000000-0010-0000-0000-000002000000}" name="Start time" dataDxfId="39" totalsRowDxfId="3"/>
    <tableColumn id="3" xr3:uid="{00000000-0010-0000-0000-000003000000}" name="Completion time" dataDxfId="38" totalsRowDxfId="2"/>
    <tableColumn id="21" xr3:uid="{574F5E68-45C2-4C0B-B4DD-7D02BE97E8A1}" name="Time to Complete" totalsRowFunction="custom" dataDxfId="37" totalsRowDxfId="1">
      <calculatedColumnFormula>C2-B2</calculatedColumnFormula>
      <totalsRowFormula>AVERAGE(D2:D6)</totalsRowFormula>
    </tableColumn>
    <tableColumn id="4" xr3:uid="{00000000-0010-0000-0000-000004000000}" name="Email" dataDxfId="36"/>
    <tableColumn id="7" xr3:uid="{00000000-0010-0000-0000-000007000000}" name="How often do you visit Kuppi Coffee?" dataDxfId="35"/>
    <tableColumn id="8" xr3:uid="{00000000-0010-0000-0000-000008000000}" name="How satisfied are you with your overall experience at our cafe? " totalsRowFunction="custom" dataDxfId="34">
      <totalsRowFormula>AVERAGE(G2:G6)</totalsRowFormula>
    </tableColumn>
    <tableColumn id="9" xr3:uid="{00000000-0010-0000-0000-000009000000}" name="Which of the following do you typically order at Kuppi Coffee? (select all that apply)" dataDxfId="33"/>
    <tableColumn id="10" xr3:uid="{00000000-0010-0000-0000-00000A000000}" name="Staff Friendliness" totalsRowFunction="custom" dataDxfId="32" totalsRowDxfId="0">
      <totalsRowFormula array="1">AVERAGE(_xlfn.SWITCH(I2:I6,"Very Dissatisfied",1,"Dissatisfied",2,"Neutral",3,"Satisfied",4,"Very Satisfied",5))</totalsRowFormula>
    </tableColumn>
    <tableColumn id="11" xr3:uid="{00000000-0010-0000-0000-00000B000000}" name="Speed of Service" totalsRowFunction="custom" dataDxfId="31">
      <totalsRowFormula array="1">AVERAGE(_xlfn.SWITCH(J2:J6,"Very Dissatisfied",1,"Dissatisfied",2,"Neutral",3,"Satisfied",4,"Very Satisfied",5))</totalsRowFormula>
    </tableColumn>
    <tableColumn id="12" xr3:uid="{00000000-0010-0000-0000-00000C000000}" name="Cleanliness" totalsRowFunction="custom" dataDxfId="30">
      <totalsRowFormula array="1">AVERAGE(_xlfn.SWITCH(K2:K6,"Very Dissatisfied",1,"Dissatisfied",2,"Neutral",3,"Satisfied",4,"Very Satisfied",5))</totalsRowFormula>
    </tableColumn>
    <tableColumn id="13" xr3:uid="{00000000-0010-0000-0000-00000D000000}" name="Wi-Fi Quality" totalsRowFunction="custom" dataDxfId="29">
      <totalsRowFormula array="1">AVERAGE(_xlfn.SWITCH(L2:L6,"Very Dissatisfied",1,"Dissatisfied",2,"Neutral",3,"Satisfied",4,"Very Satisfied",5))</totalsRowFormula>
    </tableColumn>
    <tableColumn id="14" xr3:uid="{00000000-0010-0000-0000-00000E000000}" name="Seating Comfort" totalsRowFunction="custom" dataDxfId="28">
      <totalsRowFormula array="1">AVERAGE(_xlfn.SWITCH(M2:M6,"Very Dissatisfied",1,"Dissatisfied",2,"Neutral",3,"Satisfied",4,"Very Satisfied",5))</totalsRowFormula>
    </tableColumn>
    <tableColumn id="15" xr3:uid="{00000000-0010-0000-0000-00000F000000}" name="Food &amp; Drink Quality" totalsRowFunction="custom" dataDxfId="27">
      <totalsRowFormula array="1">AVERAGE(_xlfn.SWITCH(N2:N6,"Very Dissatisfied",1,"Dissatisfied",2,"Neutral",3,"Satisfied",4,"Very Satisfied",5))</totalsRowFormula>
    </tableColumn>
    <tableColumn id="16" xr3:uid="{00000000-0010-0000-0000-000010000000}" name="How likely are you to recommend Kuppi Coffee to someone? " dataDxfId="26"/>
    <tableColumn id="17" xr3:uid="{00000000-0010-0000-0000-000011000000}" name="Would you be interested in a loyalty/rewards program at Kuppi Coffee?" totalsRowFunction="custom" dataDxfId="4">
      <totalsRowFormula>COUNTIF(P2:P6, "Maybe, depending on the rewards")</totalsRowFormula>
    </tableColumn>
    <tableColumn id="18" xr3:uid="{00000000-0010-0000-0000-000012000000}" name="Would you prefer a punch-card style reward or a points-based system? (Please select one)" dataDxfId="25"/>
    <tableColumn id="19" xr3:uid="{00000000-0010-0000-0000-000013000000}" name="Please rank the following rewards you would be most interested in (1 = most interest)" dataDxfId="24"/>
    <tableColumn id="20" xr3:uid="{00000000-0010-0000-0000-000014000000}" name="Any additional comments or concerns?" dataDxfId="23"/>
  </tableColumns>
  <tableStyleInfo name="TableStyleMedium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71977B7-73CE-4534-915A-3AE51AF0ECB0}" name="Table2" displayName="Table2" ref="A34:B39" totalsRowShown="0">
  <autoFilter ref="A34:B39" xr:uid="{771977B7-73CE-4534-915A-3AE51AF0ECB0}"/>
  <tableColumns count="2">
    <tableColumn id="1" xr3:uid="{AC3C676E-B4E2-4EDA-A266-F27991454E89}" name="Reward Option"/>
    <tableColumn id="2" xr3:uid="{1E99A44D-F924-46C4-9AAA-F2067EF6E962}" name="Top Reward Ranking"/>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B3D2ACC-D4F5-4E6F-A441-36EB32A96316}" name="Table25" displayName="Table25" ref="A1:B6" totalsRowShown="0">
  <autoFilter ref="A1:B6" xr:uid="{9B3D2ACC-D4F5-4E6F-A441-36EB32A96316}"/>
  <tableColumns count="2">
    <tableColumn id="1" xr3:uid="{518C367B-86D5-49B8-9782-763979A2E6FA}" name="Menu Options"/>
    <tableColumn id="2" xr3:uid="{793A1FA4-250C-428D-88BB-EFF9362D045C}" name="Count of Menu Option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5"/>
  <sheetViews>
    <sheetView tabSelected="1" workbookViewId="0">
      <selection activeCell="Q2" sqref="Q2"/>
    </sheetView>
  </sheetViews>
  <sheetFormatPr defaultRowHeight="14.25" x14ac:dyDescent="0.45"/>
  <cols>
    <col min="1" max="1" width="6.6640625" customWidth="1"/>
    <col min="2" max="3" width="20" bestFit="1" customWidth="1"/>
    <col min="4" max="4" width="20" customWidth="1"/>
    <col min="5" max="5" width="10.06640625" customWidth="1"/>
    <col min="6" max="6" width="16.3984375" customWidth="1"/>
    <col min="7" max="7" width="20" bestFit="1" customWidth="1"/>
    <col min="8" max="8" width="20" customWidth="1"/>
    <col min="9" max="17" width="20" bestFit="1" customWidth="1"/>
    <col min="18" max="18" width="55" customWidth="1"/>
    <col min="19" max="19" width="27.265625" customWidth="1"/>
    <col min="20" max="21" width="20" bestFit="1" customWidth="1"/>
  </cols>
  <sheetData>
    <row r="1" spans="1:19" ht="71.25" x14ac:dyDescent="0.45">
      <c r="A1" s="12" t="s">
        <v>0</v>
      </c>
      <c r="B1" s="14" t="s">
        <v>1</v>
      </c>
      <c r="C1" s="12" t="s">
        <v>2</v>
      </c>
      <c r="D1" s="12" t="s">
        <v>36</v>
      </c>
      <c r="E1" s="12" t="s">
        <v>3</v>
      </c>
      <c r="F1" s="15" t="s">
        <v>4</v>
      </c>
      <c r="G1" s="15" t="s">
        <v>57</v>
      </c>
      <c r="H1" s="15" t="s">
        <v>5</v>
      </c>
      <c r="I1" s="12" t="s">
        <v>6</v>
      </c>
      <c r="J1" s="12" t="s">
        <v>7</v>
      </c>
      <c r="K1" s="12" t="s">
        <v>8</v>
      </c>
      <c r="L1" s="12" t="s">
        <v>9</v>
      </c>
      <c r="M1" s="12" t="s">
        <v>10</v>
      </c>
      <c r="N1" s="12" t="s">
        <v>11</v>
      </c>
      <c r="O1" s="15" t="s">
        <v>56</v>
      </c>
      <c r="P1" s="15" t="s">
        <v>12</v>
      </c>
      <c r="Q1" s="15" t="s">
        <v>13</v>
      </c>
      <c r="R1" s="15" t="s">
        <v>14</v>
      </c>
      <c r="S1" s="15" t="s">
        <v>15</v>
      </c>
    </row>
    <row r="2" spans="1:19" ht="85.5" x14ac:dyDescent="0.45">
      <c r="A2" s="13">
        <v>1</v>
      </c>
      <c r="B2" s="9">
        <v>46120.957418981503</v>
      </c>
      <c r="C2" s="9">
        <v>46120.959328703699</v>
      </c>
      <c r="D2" s="11">
        <f>C2-B2</f>
        <v>1.9097221957053989E-3</v>
      </c>
      <c r="E2" s="8" t="s">
        <v>16</v>
      </c>
      <c r="F2" s="10" t="s">
        <v>17</v>
      </c>
      <c r="G2" s="10">
        <v>5</v>
      </c>
      <c r="H2" s="10" t="s">
        <v>18</v>
      </c>
      <c r="I2" s="10" t="s">
        <v>19</v>
      </c>
      <c r="J2" s="10" t="s">
        <v>20</v>
      </c>
      <c r="K2" s="10" t="s">
        <v>19</v>
      </c>
      <c r="L2" s="10" t="s">
        <v>21</v>
      </c>
      <c r="M2" s="10" t="s">
        <v>19</v>
      </c>
      <c r="N2" s="10" t="s">
        <v>19</v>
      </c>
      <c r="O2" s="10">
        <v>9</v>
      </c>
      <c r="P2" s="10" t="s">
        <v>22</v>
      </c>
      <c r="Q2" s="10" t="s">
        <v>58</v>
      </c>
      <c r="R2" s="5" t="s">
        <v>59</v>
      </c>
      <c r="S2" s="6" t="s">
        <v>24</v>
      </c>
    </row>
    <row r="3" spans="1:19" ht="85.5" x14ac:dyDescent="0.45">
      <c r="A3" s="13">
        <v>2</v>
      </c>
      <c r="B3" s="9">
        <v>46121.4062962963</v>
      </c>
      <c r="C3" s="9">
        <v>46121.408391203702</v>
      </c>
      <c r="D3" s="11">
        <f t="shared" ref="D3:D6" si="0">C3-B3</f>
        <v>2.0949074023519643E-3</v>
      </c>
      <c r="E3" s="8" t="s">
        <v>16</v>
      </c>
      <c r="F3" s="10" t="s">
        <v>25</v>
      </c>
      <c r="G3" s="10">
        <v>5</v>
      </c>
      <c r="H3" s="6" t="s">
        <v>26</v>
      </c>
      <c r="I3" s="10" t="s">
        <v>21</v>
      </c>
      <c r="J3" s="10" t="s">
        <v>20</v>
      </c>
      <c r="K3" s="10" t="s">
        <v>20</v>
      </c>
      <c r="L3" s="10" t="s">
        <v>20</v>
      </c>
      <c r="M3" s="10" t="s">
        <v>20</v>
      </c>
      <c r="N3" s="10" t="s">
        <v>20</v>
      </c>
      <c r="O3" s="10">
        <v>8</v>
      </c>
      <c r="P3" s="10" t="s">
        <v>22</v>
      </c>
      <c r="Q3" s="10" t="s">
        <v>58</v>
      </c>
      <c r="R3" s="5" t="s">
        <v>60</v>
      </c>
      <c r="S3" s="7" t="s">
        <v>27</v>
      </c>
    </row>
    <row r="4" spans="1:19" ht="99.75" x14ac:dyDescent="0.45">
      <c r="A4" s="13">
        <v>3</v>
      </c>
      <c r="B4" s="9">
        <v>46121.408344907402</v>
      </c>
      <c r="C4" s="9">
        <v>46121.409629629597</v>
      </c>
      <c r="D4" s="11">
        <f t="shared" si="0"/>
        <v>1.2847221951233223E-3</v>
      </c>
      <c r="E4" s="8" t="s">
        <v>16</v>
      </c>
      <c r="F4" s="10" t="s">
        <v>28</v>
      </c>
      <c r="G4" s="10">
        <v>5</v>
      </c>
      <c r="H4" s="10" t="s">
        <v>29</v>
      </c>
      <c r="I4" s="10" t="s">
        <v>19</v>
      </c>
      <c r="J4" s="10" t="s">
        <v>19</v>
      </c>
      <c r="K4" s="10" t="s">
        <v>19</v>
      </c>
      <c r="L4" s="10" t="s">
        <v>19</v>
      </c>
      <c r="M4" s="10" t="s">
        <v>19</v>
      </c>
      <c r="N4" s="10" t="s">
        <v>19</v>
      </c>
      <c r="O4" s="10">
        <v>10</v>
      </c>
      <c r="P4" s="10" t="s">
        <v>30</v>
      </c>
      <c r="Q4" s="10" t="s">
        <v>58</v>
      </c>
      <c r="R4" s="5" t="s">
        <v>61</v>
      </c>
      <c r="S4" s="7" t="s">
        <v>31</v>
      </c>
    </row>
    <row r="5" spans="1:19" ht="85.5" x14ac:dyDescent="0.45">
      <c r="A5" s="13">
        <v>4</v>
      </c>
      <c r="B5" s="9">
        <v>46121.488275463002</v>
      </c>
      <c r="C5" s="9">
        <v>46121.4901157407</v>
      </c>
      <c r="D5" s="11">
        <f t="shared" si="0"/>
        <v>1.8402776986476965E-3</v>
      </c>
      <c r="E5" s="8" t="s">
        <v>16</v>
      </c>
      <c r="F5" s="10" t="s">
        <v>25</v>
      </c>
      <c r="G5" s="10">
        <v>5</v>
      </c>
      <c r="H5" s="10" t="s">
        <v>32</v>
      </c>
      <c r="I5" s="10" t="s">
        <v>19</v>
      </c>
      <c r="J5" s="10" t="s">
        <v>20</v>
      </c>
      <c r="K5" s="10" t="s">
        <v>19</v>
      </c>
      <c r="L5" s="10" t="s">
        <v>19</v>
      </c>
      <c r="M5" s="10" t="s">
        <v>19</v>
      </c>
      <c r="N5" s="10" t="s">
        <v>20</v>
      </c>
      <c r="O5" s="10">
        <v>9</v>
      </c>
      <c r="P5" s="10" t="s">
        <v>30</v>
      </c>
      <c r="Q5" s="10" t="s">
        <v>58</v>
      </c>
      <c r="R5" s="4" t="s">
        <v>62</v>
      </c>
      <c r="S5" s="6" t="s">
        <v>33</v>
      </c>
    </row>
    <row r="6" spans="1:19" ht="85.5" x14ac:dyDescent="0.45">
      <c r="A6" s="13">
        <v>5</v>
      </c>
      <c r="B6" s="9">
        <v>46122.046990740702</v>
      </c>
      <c r="C6" s="9">
        <v>46122.0477777778</v>
      </c>
      <c r="D6" s="11">
        <f t="shared" si="0"/>
        <v>7.8703709732508287E-4</v>
      </c>
      <c r="E6" s="8" t="s">
        <v>16</v>
      </c>
      <c r="F6" s="10" t="s">
        <v>25</v>
      </c>
      <c r="G6" s="10">
        <v>5</v>
      </c>
      <c r="H6" s="10" t="s">
        <v>34</v>
      </c>
      <c r="I6" s="10" t="s">
        <v>19</v>
      </c>
      <c r="J6" s="10" t="s">
        <v>19</v>
      </c>
      <c r="K6" s="10" t="s">
        <v>19</v>
      </c>
      <c r="L6" s="10" t="s">
        <v>19</v>
      </c>
      <c r="M6" s="10" t="s">
        <v>19</v>
      </c>
      <c r="N6" s="10" t="s">
        <v>19</v>
      </c>
      <c r="O6" s="10">
        <v>10</v>
      </c>
      <c r="P6" s="10" t="s">
        <v>30</v>
      </c>
      <c r="Q6" s="10" t="s">
        <v>63</v>
      </c>
      <c r="R6" s="5" t="s">
        <v>64</v>
      </c>
      <c r="S6" s="8" t="s">
        <v>31</v>
      </c>
    </row>
    <row r="7" spans="1:19" x14ac:dyDescent="0.45">
      <c r="B7" s="1"/>
      <c r="C7" s="1"/>
      <c r="D7" s="2">
        <f>AVERAGE(D2:D6)</f>
        <v>1.5833333178306929E-3</v>
      </c>
      <c r="G7">
        <f>AVERAGE(G2:G6)</f>
        <v>5</v>
      </c>
      <c r="I7" s="3" cm="1">
        <f t="array" ref="I7">AVERAGE(_xlfn.SWITCH(I2:I6,"Very Dissatisfied",1,"Dissatisfied",2,"Neutral",3,"Satisfied",4,"Very Satisfied",5))</f>
        <v>4.5999999999999996</v>
      </c>
      <c r="J7" cm="1">
        <f t="array" ref="J7">AVERAGE(_xlfn.SWITCH(J2:J6,"Very Dissatisfied",1,"Dissatisfied",2,"Neutral",3,"Satisfied",4,"Very Satisfied",5))</f>
        <v>4.4000000000000004</v>
      </c>
      <c r="K7" cm="1">
        <f t="array" ref="K7">AVERAGE(_xlfn.SWITCH(K2:K6,"Very Dissatisfied",1,"Dissatisfied",2,"Neutral",3,"Satisfied",4,"Very Satisfied",5))</f>
        <v>4.8</v>
      </c>
      <c r="L7" cm="1">
        <f t="array" ref="L7">AVERAGE(_xlfn.SWITCH(L2:L6,"Very Dissatisfied",1,"Dissatisfied",2,"Neutral",3,"Satisfied",4,"Very Satisfied",5))</f>
        <v>4.4000000000000004</v>
      </c>
      <c r="M7" cm="1">
        <f t="array" ref="M7">AVERAGE(_xlfn.SWITCH(M2:M6,"Very Dissatisfied",1,"Dissatisfied",2,"Neutral",3,"Satisfied",4,"Very Satisfied",5))</f>
        <v>4.8</v>
      </c>
      <c r="N7" cm="1">
        <f t="array" ref="N7">AVERAGE(_xlfn.SWITCH(N2:N6,"Very Dissatisfied",1,"Dissatisfied",2,"Neutral",3,"Satisfied",4,"Very Satisfied",5))</f>
        <v>4.5999999999999996</v>
      </c>
      <c r="P7">
        <f>COUNTIF(P2:P6, "Maybe, depending on the rewards")</f>
        <v>2</v>
      </c>
    </row>
    <row r="9" spans="1:19" x14ac:dyDescent="0.45">
      <c r="I9">
        <v>4.5999999999999996</v>
      </c>
    </row>
    <row r="10" spans="1:19" x14ac:dyDescent="0.45">
      <c r="I10">
        <v>4.4000000000000004</v>
      </c>
    </row>
    <row r="11" spans="1:19" x14ac:dyDescent="0.45">
      <c r="I11">
        <v>4.8</v>
      </c>
    </row>
    <row r="12" spans="1:19" x14ac:dyDescent="0.45">
      <c r="I12">
        <v>4.4000000000000004</v>
      </c>
    </row>
    <row r="13" spans="1:19" x14ac:dyDescent="0.45">
      <c r="I13">
        <v>4.8</v>
      </c>
    </row>
    <row r="14" spans="1:19" x14ac:dyDescent="0.45">
      <c r="I14">
        <v>4.5999999999999996</v>
      </c>
    </row>
    <row r="15" spans="1:19" x14ac:dyDescent="0.45">
      <c r="I15" s="24">
        <f>AVERAGE(I9:I14)</f>
        <v>4.6000000000000005</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AEBE3-C606-4B13-8367-078B9EF83811}">
  <dimension ref="A1:B39"/>
  <sheetViews>
    <sheetView workbookViewId="0">
      <selection activeCell="A34" sqref="A34:B39"/>
    </sheetView>
  </sheetViews>
  <sheetFormatPr defaultRowHeight="14.25" x14ac:dyDescent="0.45"/>
  <cols>
    <col min="1" max="1" width="20.3984375" customWidth="1"/>
    <col min="2" max="2" width="17.9296875" customWidth="1"/>
  </cols>
  <sheetData>
    <row r="1" spans="1:2" ht="28.5" x14ac:dyDescent="0.45">
      <c r="A1" s="17" t="s">
        <v>38</v>
      </c>
      <c r="B1" s="18" t="s">
        <v>41</v>
      </c>
    </row>
    <row r="2" spans="1:2" ht="28.5" x14ac:dyDescent="0.45">
      <c r="A2" s="19" t="s">
        <v>22</v>
      </c>
      <c r="B2" s="20">
        <v>2</v>
      </c>
    </row>
    <row r="3" spans="1:2" x14ac:dyDescent="0.45">
      <c r="A3" s="21" t="s">
        <v>30</v>
      </c>
      <c r="B3" s="20">
        <v>3</v>
      </c>
    </row>
    <row r="4" spans="1:2" x14ac:dyDescent="0.45">
      <c r="A4" s="21" t="s">
        <v>37</v>
      </c>
      <c r="B4" s="20">
        <v>5</v>
      </c>
    </row>
    <row r="17" spans="1:2" x14ac:dyDescent="0.45">
      <c r="A17" s="22" t="s">
        <v>39</v>
      </c>
      <c r="B17" s="23" t="s">
        <v>40</v>
      </c>
    </row>
    <row r="18" spans="1:2" x14ac:dyDescent="0.45">
      <c r="A18" s="21" t="s">
        <v>23</v>
      </c>
      <c r="B18" s="20">
        <v>4</v>
      </c>
    </row>
    <row r="19" spans="1:2" x14ac:dyDescent="0.45">
      <c r="A19" s="21" t="s">
        <v>35</v>
      </c>
      <c r="B19" s="20">
        <v>1</v>
      </c>
    </row>
    <row r="20" spans="1:2" x14ac:dyDescent="0.45">
      <c r="A20" s="21" t="s">
        <v>37</v>
      </c>
      <c r="B20" s="20">
        <v>5</v>
      </c>
    </row>
    <row r="34" spans="1:2" x14ac:dyDescent="0.45">
      <c r="A34" t="s">
        <v>42</v>
      </c>
      <c r="B34" t="s">
        <v>48</v>
      </c>
    </row>
    <row r="35" spans="1:2" x14ac:dyDescent="0.45">
      <c r="A35" t="s">
        <v>43</v>
      </c>
      <c r="B35">
        <f>COUNTIF(Survey_Responses!R2:R6, "Earn a free specialty drink after every 10 drink purchases*")</f>
        <v>1</v>
      </c>
    </row>
    <row r="36" spans="1:2" x14ac:dyDescent="0.45">
      <c r="A36" t="s">
        <v>45</v>
      </c>
      <c r="B36">
        <f>COUNTIF(Survey_Responses!R2:R6, "Earn a free pastry or baked good after every 6 food purchases*")</f>
        <v>1</v>
      </c>
    </row>
    <row r="37" spans="1:2" ht="28.5" x14ac:dyDescent="0.45">
      <c r="A37" s="3" t="s">
        <v>46</v>
      </c>
      <c r="B37">
        <f>COUNTIF(Survey_Responses!R2:R6, "Earn 1 point for every $1, redeem 100 points for a free specialty drink or pastry of your choice*")</f>
        <v>0</v>
      </c>
    </row>
    <row r="38" spans="1:2" x14ac:dyDescent="0.45">
      <c r="A38" t="s">
        <v>47</v>
      </c>
      <c r="B38">
        <f>COUNTIF(Survey_Responses!R2:R6, "Earn a free specialty milk upgrade (oat, almond, macadamia) after every 10 drinks*")</f>
        <v>0</v>
      </c>
    </row>
    <row r="39" spans="1:2" x14ac:dyDescent="0.45">
      <c r="A39" t="s">
        <v>44</v>
      </c>
      <c r="B39">
        <f>COUNTIF(Survey_Responses!R2:R6, "Redeem 200 points for exclusive Kuppi Coffee merch (cups, stationary, tote bags)*")</f>
        <v>0</v>
      </c>
    </row>
  </sheetData>
  <pageMargins left="0.7" right="0.7" top="0.75" bottom="0.75" header="0.3" footer="0.3"/>
  <drawing r:id="rId3"/>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4709F-6E12-4BCB-BC98-2A74DB8E28D2}">
  <dimension ref="A1:B6"/>
  <sheetViews>
    <sheetView workbookViewId="0">
      <selection activeCell="H14" sqref="H14"/>
    </sheetView>
  </sheetViews>
  <sheetFormatPr defaultRowHeight="14.25" x14ac:dyDescent="0.45"/>
  <cols>
    <col min="1" max="1" width="23.6640625" customWidth="1"/>
    <col min="2" max="2" width="22.53125" customWidth="1"/>
    <col min="11" max="11" width="18.46484375" customWidth="1"/>
    <col min="12" max="12" width="20.53125" customWidth="1"/>
  </cols>
  <sheetData>
    <row r="1" spans="1:2" x14ac:dyDescent="0.45">
      <c r="A1" t="s">
        <v>50</v>
      </c>
      <c r="B1" t="s">
        <v>51</v>
      </c>
    </row>
    <row r="2" spans="1:2" x14ac:dyDescent="0.45">
      <c r="A2" t="s">
        <v>53</v>
      </c>
      <c r="B2">
        <f>COUNTIF(Survey_Responses!H2:H6, "*Drip Coffee*")</f>
        <v>0</v>
      </c>
    </row>
    <row r="3" spans="1:2" ht="57" x14ac:dyDescent="0.45">
      <c r="A3" s="4" t="s">
        <v>49</v>
      </c>
      <c r="B3" s="16">
        <f>COUNTIF(Survey_Responses!H2:H6, "*Specialty coffee drinks (lattes, mochas, cappuccinos, iced drinks, etc.)*")</f>
        <v>4</v>
      </c>
    </row>
    <row r="4" spans="1:2" ht="28.5" x14ac:dyDescent="0.45">
      <c r="A4" s="3" t="s">
        <v>52</v>
      </c>
      <c r="B4">
        <f>COUNTIF(Survey_Responses!H2:H6, "*Specialty non-coffee drinks (tea, chai, matcha, etc.)*")</f>
        <v>1</v>
      </c>
    </row>
    <row r="5" spans="1:2" x14ac:dyDescent="0.45">
      <c r="A5" t="s">
        <v>55</v>
      </c>
      <c r="B5">
        <f>COUNTIF(Survey_Responses!H2:H6, "*Breakfast sandwiches*")</f>
        <v>4</v>
      </c>
    </row>
    <row r="6" spans="1:2" x14ac:dyDescent="0.45">
      <c r="A6" t="s">
        <v>54</v>
      </c>
      <c r="B6">
        <f>COUNTIF(Survey_Responses!H2:H6, "*Pastries &amp; baked goods*")</f>
        <v>3</v>
      </c>
    </row>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15E29-8D0E-48CB-B3C9-5E948B747485}">
  <dimension ref="A1"/>
  <sheetViews>
    <sheetView workbookViewId="0">
      <selection activeCell="J21" sqref="J21"/>
    </sheetView>
  </sheetViews>
  <sheetFormatPr defaultRowHeight="14.25" x14ac:dyDescent="0.4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Survey_Responses</vt:lpstr>
      <vt:lpstr>Loyalty_Rewards_Program</vt:lpstr>
      <vt:lpstr>Menu Purchases</vt:lpstr>
      <vt:lpstr>Recommendations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sharleen guerrero</cp:lastModifiedBy>
  <dcterms:created xsi:type="dcterms:W3CDTF">2026-04-11T01:20:28Z</dcterms:created>
  <dcterms:modified xsi:type="dcterms:W3CDTF">2026-04-18T11:35:26Z</dcterms:modified>
</cp:coreProperties>
</file>