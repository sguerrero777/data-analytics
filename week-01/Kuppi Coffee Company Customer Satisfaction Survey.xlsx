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hidePivotFieldList="1"/>
  <mc:AlternateContent xmlns:mc="http://schemas.openxmlformats.org/markup-compatibility/2006">
    <mc:Choice Requires="x15">
      <x15ac:absPath xmlns:x15ac="http://schemas.microsoft.com/office/spreadsheetml/2010/11/ac" url="C:\Users\sguer\Documents\DataAnalytics\week-01\"/>
    </mc:Choice>
  </mc:AlternateContent>
  <xr:revisionPtr revIDLastSave="0" documentId="13_ncr:1_{9A0722D2-6F89-4CFB-91F5-6851B2C1AD5E}" xr6:coauthVersionLast="47" xr6:coauthVersionMax="47" xr10:uidLastSave="{00000000-0000-0000-0000-000000000000}"/>
  <bookViews>
    <workbookView xWindow="5078" yWindow="293" windowWidth="16484" windowHeight="12060" xr2:uid="{00000000-000D-0000-FFFF-FFFF00000000}"/>
  </bookViews>
  <sheets>
    <sheet name="Survey_Responses" sheetId="1" r:id="rId1"/>
    <sheet name="Rewards System" sheetId="2" r:id="rId2"/>
  </sheets>
  <calcPr calcId="191029"/>
  <pivotCaches>
    <pivotCache cacheId="5" r:id="rId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7" i="1" l="1" a="1"/>
  <c r="N7" i="1" s="1"/>
  <c r="M7" i="1" a="1"/>
  <c r="M7" i="1" s="1"/>
  <c r="L7" i="1" a="1"/>
  <c r="L7" i="1" s="1"/>
  <c r="K7" i="1" a="1"/>
  <c r="K7" i="1" s="1"/>
  <c r="J7" i="1" a="1"/>
  <c r="J7" i="1" s="1"/>
  <c r="I7" i="1" a="1"/>
  <c r="I7" i="1" s="1"/>
  <c r="D2" i="1"/>
  <c r="D3" i="1"/>
  <c r="D4" i="1"/>
  <c r="D5" i="1"/>
  <c r="D6" i="1"/>
  <c r="D7" i="1"/>
  <c r="G7" i="1"/>
  <c r="P7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<sst xmlns="http://schemas.openxmlformats.org/spreadsheetml/2006/main" count="89" uniqueCount="47">
  <si>
    <t>ID</t>
  </si>
  <si>
    <t>Start time</t>
  </si>
  <si>
    <t>Completion time</t>
  </si>
  <si>
    <t>Email</t>
  </si>
  <si>
    <t>How often do you visit Kuppi Coffee?</t>
  </si>
  <si>
    <t>How satisfied are you with your overall experience at our cafe? (1 = Very Dissatisfied → 5 = Very Satisfied)</t>
  </si>
  <si>
    <t>Which of the following do you typically order at Kuppi Coffee? (select all that apply)</t>
  </si>
  <si>
    <t>Staff Friendliness</t>
  </si>
  <si>
    <t>Speed of Service</t>
  </si>
  <si>
    <t>Cleanliness</t>
  </si>
  <si>
    <t>Wi-Fi Quality</t>
  </si>
  <si>
    <t>Seating Comfort</t>
  </si>
  <si>
    <t>Food &amp; Drink Quality</t>
  </si>
  <si>
    <t>How likely are you to recommend Kuppi Coffee to someone? (1 = Not at all likely → 10 = Extremely likely)</t>
  </si>
  <si>
    <t>Would you be interested in a loyalty/rewards program at Kuppi Coffee?</t>
  </si>
  <si>
    <t>Would you prefer a punch-card style reward or a points-based system? (Please select one)</t>
  </si>
  <si>
    <t>Please rank the following rewards you would be most interested in (1 = most interest)</t>
  </si>
  <si>
    <t>Any additional comments or concerns?</t>
  </si>
  <si>
    <t>anonymous</t>
  </si>
  <si>
    <t>Once a week</t>
  </si>
  <si>
    <t>Breakfast sandwiches;Specialty coffee drinks (lattes, mochas, cappuccinos, iced drinks, etc.);</t>
  </si>
  <si>
    <t>Very Satisfied</t>
  </si>
  <si>
    <t>Satisfied</t>
  </si>
  <si>
    <t>Neutral</t>
  </si>
  <si>
    <t>Maybe, depending on the rewards</t>
  </si>
  <si>
    <t>Points-Based </t>
  </si>
  <si>
    <t>Earn 1 point for every $1, redeem 100 points for a free specialty drink or pastry of your choice;Earn a free specialty drink after every 10 drink purchases;Earn a free pastry or baked good after every 6 food purchases;Redeem 200 points for exclusive Kuppi Coffee merch (cups, stationary, tote bags);Earn a free specialty milk upgrade (oat, almond, macadamia) after every 10 drinks;</t>
  </si>
  <si>
    <t>Add more deals and discounts</t>
  </si>
  <si>
    <t>First time</t>
  </si>
  <si>
    <t>Specialty coffee drinks (lattes, mochas, cappuccinos, iced drinks, etc.);Breakfast sandwiches;Pastries &amp; baked goods;</t>
  </si>
  <si>
    <t>Earn 1 point for every $1, redeem 100 points for a free specialty drink or pastry of your choice;Earn a free pastry or baked good after every 6 food purchases;Earn a free specialty drink after every 10 drink purchases;Redeem 200 points for exclusive Kuppi Coffee merch (cups, stationary, tote bags);Earn a free specialty milk upgrade (oat, almond, macadamia) after every 10 drinks;</t>
  </si>
  <si>
    <t>No</t>
  </si>
  <si>
    <t>Once a month</t>
  </si>
  <si>
    <t>Specialty coffee drinks (lattes, mochas, cappuccinos, iced drinks, etc.);Breakfast sandwiches;</t>
  </si>
  <si>
    <t>Yes</t>
  </si>
  <si>
    <t>Earn 1 point for every $1, redeem 100 points for a free specialty drink or pastry of your choice;Redeem 200 points for exclusive Kuppi Coffee merch (cups, stationary, tote bags);Earn a free specialty milk upgrade (oat, almond, macadamia) after every 10 drinks;Earn a free specialty drink after every 10 drink purchases;Earn a free pastry or baked good after every 6 food purchases;</t>
  </si>
  <si>
    <t>N/A</t>
  </si>
  <si>
    <t>Specialty coffee drinks (lattes, mochas, cappuccinos, iced drinks, etc.);Pastries &amp; baked goods;</t>
  </si>
  <si>
    <t>Earn a free specialty drink after every 10 drink purchases;Redeem 200 points for exclusive Kuppi Coffee merch (cups, stationary, tote bags);Earn 1 point for every $1, redeem 100 points for a free specialty drink or pastry of your choice;Earn a free pastry or baked good after every 6 food purchases;Earn a free specialty milk upgrade (oat, almond, macadamia) after every 10 drinks;</t>
  </si>
  <si>
    <t xml:space="preserve">No additional comments or concerns at this time, but the next time I'm in town, I'm definitely coming here. </t>
  </si>
  <si>
    <t>Breakfast sandwiches;Pastries &amp; baked goods;Specialty non-coffee drinks (tea, chai, matcha, etc.);</t>
  </si>
  <si>
    <t>Punch-Card </t>
  </si>
  <si>
    <t>Earn a free pastry or baked good after every 6 food purchases;Earn a free specialty drink after every 10 drink purchases;Earn a free specialty milk upgrade (oat, almond, macadamia) after every 10 drinks;Earn 1 point for every $1, redeem 100 points for a free specialty drink or pastry of your choice;Redeem 200 points for exclusive Kuppi Coffee merch (cups, stationary, tote bags);</t>
  </si>
  <si>
    <t>Time to Complete</t>
  </si>
  <si>
    <t>Row Labels</t>
  </si>
  <si>
    <t>Grand Total</t>
  </si>
  <si>
    <t>Count of Please rank the following rewards you would be most interested in (1 = most interest)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</si>
</sst>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mm/dd/yyyy\ hh:mm:ss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0" fillId="0" borderId="0" xfId="0" applyNumberFormat="1"/>
    <xf numFmtId="166" fontId="0" fillId="0" borderId="0" xfId="0" applyNumberFormat="1"/>
    <xf numFmtId="45" fontId="0" fillId="0" borderId="0" xfId="0" applyNumberFormat="1"/>
    <xf numFmtId="0" fontId="0" fillId="0" borderId="0" xfId="0" applyNumberFormat="1" applyAlignment="1">
      <alignment wrapText="1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vertical="top" wrapText="1"/>
    </xf>
    <xf numFmtId="0" fontId="0" fillId="0" borderId="0" xfId="0" applyAlignment="1">
      <alignment horizontal="left" vertical="top" wrapText="1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left" vertical="center"/>
    </xf>
    <xf numFmtId="0" fontId="0" fillId="0" borderId="0" xfId="0" applyAlignment="1">
      <alignment vertical="center"/>
    </xf>
    <xf numFmtId="166" fontId="0" fillId="0" borderId="0" xfId="0" applyNumberFormat="1" applyAlignment="1">
      <alignment vertical="center"/>
    </xf>
    <xf numFmtId="0" fontId="0" fillId="0" borderId="0" xfId="0" applyAlignment="1">
      <alignment vertical="center" wrapText="1"/>
    </xf>
    <xf numFmtId="45" fontId="0" fillId="0" borderId="0" xfId="0" applyNumberFormat="1" applyAlignment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right" vertical="center"/>
    </xf>
    <xf numFmtId="166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 wrapText="1"/>
    </xf>
  </cellXfs>
  <cellStyles count="1">
    <cellStyle name="Normal" xfId="0" builtinId="0"/>
  </cellStyles>
  <dxfs count="39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general" vertical="bottom" textRotation="0" wrapText="1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8" formatCode="mm:ss"/>
    </dxf>
    <dxf>
      <numFmt numFmtId="166" formatCode="mm/dd/yyyy\ hh:mm:ss"/>
    </dxf>
    <dxf>
      <numFmt numFmtId="166" formatCode="mm/dd/yyyy\ hh:mm:ss"/>
    </dxf>
    <dxf>
      <numFmt numFmtId="0" formatCode="General"/>
    </dxf>
    <dxf>
      <numFmt numFmtId="0" formatCode="General"/>
    </dxf>
    <dxf>
      <numFmt numFmtId="0" formatCode="General"/>
      <alignment vertical="center" textRotation="0" indent="0" justifyLastLine="0" shrinkToFit="0" readingOrder="0"/>
    </dxf>
    <dxf>
      <numFmt numFmtId="0" formatCode="General"/>
      <alignment horizontal="general" vertical="center" textRotation="0" wrapText="1" indent="0" justifyLastLine="0" shrinkToFit="0" readingOrder="0"/>
    </dxf>
    <dxf>
      <numFmt numFmtId="0" formatCode="General"/>
      <alignment horizontal="general" vertical="center" textRotation="0" wrapText="1" indent="0" justifyLastLine="0" shrinkToFit="0" readingOrder="0"/>
    </dxf>
    <dxf>
      <numFmt numFmtId="0" formatCode="General"/>
      <alignment horizontal="general" vertical="center" textRotation="0" wrapText="1" indent="0" justifyLastLine="0" shrinkToFit="0" readingOrder="0"/>
    </dxf>
    <dxf>
      <numFmt numFmtId="0" formatCode="General"/>
      <alignment horizontal="general" vertical="center" textRotation="0" wrapText="1" indent="0" justifyLastLine="0" shrinkToFit="0" readingOrder="0"/>
    </dxf>
    <dxf>
      <numFmt numFmtId="0" formatCode="General"/>
      <alignment horizontal="general" vertical="center" textRotation="0" wrapText="1" indent="0" justifyLastLine="0" shrinkToFit="0" readingOrder="0"/>
    </dxf>
    <dxf>
      <numFmt numFmtId="0" formatCode="General"/>
      <alignment horizontal="general" vertical="center" textRotation="0" wrapText="1" indent="0" justifyLastLine="0" shrinkToFit="0" readingOrder="0"/>
    </dxf>
    <dxf>
      <numFmt numFmtId="0" formatCode="General"/>
      <alignment horizontal="general" vertical="center" textRotation="0" wrapText="1" indent="0" justifyLastLine="0" shrinkToFit="0" readingOrder="0"/>
    </dxf>
    <dxf>
      <numFmt numFmtId="0" formatCode="General"/>
      <alignment horizontal="general" vertical="center" textRotation="0" wrapText="1" indent="0" justifyLastLine="0" shrinkToFit="0" readingOrder="0"/>
    </dxf>
    <dxf>
      <numFmt numFmtId="0" formatCode="General"/>
      <alignment horizontal="general" vertical="center" textRotation="0" wrapText="1" indent="0" justifyLastLine="0" shrinkToFit="0" readingOrder="0"/>
    </dxf>
    <dxf>
      <numFmt numFmtId="0" formatCode="General"/>
      <alignment horizontal="general" vertical="center" textRotation="0" wrapText="1" indent="0" justifyLastLine="0" shrinkToFit="0" readingOrder="0"/>
    </dxf>
    <dxf>
      <numFmt numFmtId="0" formatCode="General"/>
      <alignment horizontal="general" vertical="center" textRotation="0" wrapText="1" indent="0" justifyLastLine="0" shrinkToFit="0" readingOrder="0"/>
    </dxf>
    <dxf>
      <numFmt numFmtId="0" formatCode="General"/>
      <alignment horizontal="general" vertical="center" textRotation="0" wrapText="1" indent="0" justifyLastLine="0" shrinkToFit="0" readingOrder="0"/>
    </dxf>
    <dxf>
      <numFmt numFmtId="0" formatCode="General"/>
      <alignment vertical="center" textRotation="0" indent="0" justifyLastLine="0" shrinkToFit="0" readingOrder="0"/>
    </dxf>
    <dxf>
      <numFmt numFmtId="28" formatCode="mm:ss"/>
      <alignment vertical="center" textRotation="0" indent="0" justifyLastLine="0" shrinkToFit="0" readingOrder="0"/>
    </dxf>
    <dxf>
      <numFmt numFmtId="166" formatCode="mm/dd/yyyy\ hh:mm:ss"/>
      <alignment vertical="center" textRotation="0" indent="0" justifyLastLine="0" shrinkToFit="0" readingOrder="0"/>
    </dxf>
    <dxf>
      <numFmt numFmtId="166" formatCode="mm/dd/yyyy\ hh:mm:ss"/>
      <alignment vertical="center" textRotation="0" indent="0" justifyLastLine="0" shrinkToFit="0" readingOrder="0"/>
    </dxf>
    <dxf>
      <numFmt numFmtId="0" formatCode="General"/>
      <alignment horizontal="right" vertical="center" textRotation="0" wrapText="0" indent="0" justifyLastLine="0" shrinkToFit="0" readingOrder="0"/>
    </dxf>
    <dxf>
      <alignment horizontal="center" vertical="center" textRotation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pivotCacheDefinition" Target="pivotCache/pivotCacheDefinition1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[Kuppi Coffee Company Customer Satisfaction Survey.xlsx]Rewards System!PivotTable1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'Rewards System'!$B$1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'Rewards System'!$A$2:$A$4</c:f>
              <c:strCache>
                <c:ptCount val="2"/>
                <c:pt idx="0">
                  <c:v>Points-Based </c:v>
                </c:pt>
                <c:pt idx="1">
                  <c:v>Punch-Card </c:v>
                </c:pt>
              </c:strCache>
            </c:strRef>
          </c:cat>
          <c:val>
            <c:numRef>
              <c:f>'Rewards System'!$B$2:$B$4</c:f>
              <c:numCache>
                <c:formatCode>General</c:formatCode>
                <c:ptCount val="2"/>
                <c:pt idx="0">
                  <c:v>4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ED9-416E-9A3A-6076CCF8F3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6765504"/>
        <c:axId val="176772704"/>
      </c:barChart>
      <c:catAx>
        <c:axId val="1767655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6772704"/>
        <c:crosses val="autoZero"/>
        <c:auto val="1"/>
        <c:lblAlgn val="ctr"/>
        <c:lblOffset val="100"/>
        <c:noMultiLvlLbl val="0"/>
      </c:catAx>
      <c:valAx>
        <c:axId val="1767727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67655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[Kuppi Coffee Company Customer Satisfaction Survey.xlsx]Rewards System!PivotTable1</c:name>
    <c:fmtId val="6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strRef>
              <c:f>'Rewards System'!$B$1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26B7-4619-AD91-18CCF2769C7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26B7-4619-AD91-18CCF2769C73}"/>
              </c:ext>
            </c:extLst>
          </c:dPt>
          <c:cat>
            <c:strRef>
              <c:f>'Rewards System'!$A$2:$A$4</c:f>
              <c:strCache>
                <c:ptCount val="2"/>
                <c:pt idx="0">
                  <c:v>Points-Based </c:v>
                </c:pt>
                <c:pt idx="1">
                  <c:v>Punch-Card </c:v>
                </c:pt>
              </c:strCache>
            </c:strRef>
          </c:cat>
          <c:val>
            <c:numRef>
              <c:f>'Rewards System'!$B$2:$B$4</c:f>
              <c:numCache>
                <c:formatCode>General</c:formatCode>
                <c:ptCount val="2"/>
                <c:pt idx="0">
                  <c:v>4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6B7-4619-AD91-18CCF2769C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100012</xdr:colOff>
      <xdr:row>5</xdr:row>
      <xdr:rowOff>104775</xdr:rowOff>
    </xdr:from>
    <xdr:to>
      <xdr:col>1</xdr:col>
      <xdr:colOff>3809999</xdr:colOff>
      <xdr:row>20</xdr:row>
      <xdr:rowOff>133350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5502040-51DD-3F33-1FF3-FB9FEFC465F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180975</xdr:colOff>
      <xdr:row>22</xdr:row>
      <xdr:rowOff>19050</xdr:rowOff>
    </xdr:from>
    <xdr:to>
      <xdr:col>1</xdr:col>
      <xdr:colOff>3890962</xdr:colOff>
      <xdr:row>37</xdr:row>
      <xdr:rowOff>47625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12526B1-F71B-4F6B-9FC3-E9310AB2526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harleen Guerro" refreshedDate="46122.952830787035" createdVersion="8" refreshedVersion="8" minRefreshableVersion="3" recordCount="5" xr:uid="{DD154EF7-8459-48BC-87B7-9F2B8C735A56}">
  <cacheSource type="worksheet">
    <worksheetSource name="Table1"/>
  </cacheSource>
  <cacheFields count="19">
    <cacheField name="ID" numFmtId="0">
      <sharedItems containsSemiMixedTypes="0" containsString="0" containsNumber="1" containsInteger="1" minValue="1" maxValue="5"/>
    </cacheField>
    <cacheField name="Start time" numFmtId="166">
      <sharedItems containsSemiMixedTypes="0" containsNonDate="0" containsDate="1" containsString="0" minDate="2026-04-08T22:58:41" maxDate="2026-04-10T01:07:40"/>
    </cacheField>
    <cacheField name="Completion time" numFmtId="166">
      <sharedItems containsSemiMixedTypes="0" containsNonDate="0" containsDate="1" containsString="0" minDate="2026-04-08T23:01:26" maxDate="2026-04-10T01:08:48"/>
    </cacheField>
    <cacheField name="Time to Complete" numFmtId="45">
      <sharedItems containsSemiMixedTypes="0" containsNonDate="0" containsDate="1" containsString="0" minDate="1899-12-30T00:01:08" maxDate="1899-12-30T00:03:01"/>
    </cacheField>
    <cacheField name="Email" numFmtId="0">
      <sharedItems/>
    </cacheField>
    <cacheField name="How often do you visit Kuppi Coffee?" numFmtId="0">
      <sharedItems/>
    </cacheField>
    <cacheField name="How satisfied are you with your overall experience at our cafe? (1 = Very Dissatisfied → 5 = Very Satisfied)" numFmtId="0">
      <sharedItems containsSemiMixedTypes="0" containsString="0" containsNumber="1" containsInteger="1" minValue="5" maxValue="5"/>
    </cacheField>
    <cacheField name="Which of the following do you typically order at Kuppi Coffee? (select all that apply)" numFmtId="0">
      <sharedItems count="5">
        <s v="Breakfast sandwiches;Specialty coffee drinks (lattes, mochas, cappuccinos, iced drinks, etc.);"/>
        <s v="Specialty coffee drinks (lattes, mochas, cappuccinos, iced drinks, etc.);Breakfast sandwiches;Pastries &amp; baked goods;"/>
        <s v="Specialty coffee drinks (lattes, mochas, cappuccinos, iced drinks, etc.);Breakfast sandwiches;"/>
        <s v="Specialty coffee drinks (lattes, mochas, cappuccinos, iced drinks, etc.);Pastries &amp; baked goods;"/>
        <s v="Breakfast sandwiches;Pastries &amp; baked goods;Specialty non-coffee drinks (tea, chai, matcha, etc.);"/>
      </sharedItems>
    </cacheField>
    <cacheField name="Staff Friendliness" numFmtId="0">
      <sharedItems/>
    </cacheField>
    <cacheField name="Speed of Service" numFmtId="0">
      <sharedItems/>
    </cacheField>
    <cacheField name="Cleanliness" numFmtId="0">
      <sharedItems/>
    </cacheField>
    <cacheField name="Wi-Fi Quality" numFmtId="0">
      <sharedItems/>
    </cacheField>
    <cacheField name="Seating Comfort" numFmtId="0">
      <sharedItems/>
    </cacheField>
    <cacheField name="Food &amp; Drink Quality" numFmtId="0">
      <sharedItems count="2">
        <s v="Very Satisfied"/>
        <s v="Satisfied"/>
      </sharedItems>
    </cacheField>
    <cacheField name="How likely are you to recommend Kuppi Coffee to someone? (1 = Not at all likely → 10 = Extremely likely)" numFmtId="0">
      <sharedItems containsSemiMixedTypes="0" containsString="0" containsNumber="1" containsInteger="1" minValue="8" maxValue="10"/>
    </cacheField>
    <cacheField name="Would you be interested in a loyalty/rewards program at Kuppi Coffee?" numFmtId="0">
      <sharedItems/>
    </cacheField>
    <cacheField name="Would you prefer a punch-card style reward or a points-based system? (Please select one)" numFmtId="0">
      <sharedItems count="2">
        <s v="Points-Based "/>
        <s v="Punch-Card "/>
      </sharedItems>
    </cacheField>
    <cacheField name="Please rank the following rewards you would be most interested in (1 = most interest)" numFmtId="0">
      <sharedItems longText="1"/>
    </cacheField>
    <cacheField name="Any additional comments or concerns?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">
  <r>
    <n v="1"/>
    <d v="2026-04-08T22:58:41"/>
    <d v="2026-04-08T23:01:26"/>
    <d v="1899-12-30T00:02:45"/>
    <s v="anonymous"/>
    <s v="Once a week"/>
    <n v="5"/>
    <x v="0"/>
    <s v="Very Satisfied"/>
    <s v="Satisfied"/>
    <s v="Very Satisfied"/>
    <s v="Neutral"/>
    <s v="Very Satisfied"/>
    <x v="0"/>
    <n v="9"/>
    <s v="Maybe, depending on the rewards"/>
    <x v="0"/>
    <s v="Earn 1 point for every $1, redeem 100 points for a free specialty drink or pastry of your choice;Earn a free specialty drink after every 10 drink purchases;Earn a free pastry or baked good after every 6 food purchases;Redeem 200 points for exclusive Kuppi Coffee merch (cups, stationary, tote bags);Earn a free specialty milk upgrade (oat, almond, macadamia) after every 10 drinks;"/>
    <s v="Add more deals and discounts"/>
  </r>
  <r>
    <n v="2"/>
    <d v="2026-04-09T09:45:04"/>
    <d v="2026-04-09T09:48:05"/>
    <d v="1899-12-30T00:03:01"/>
    <s v="anonymous"/>
    <s v="First time"/>
    <n v="5"/>
    <x v="1"/>
    <s v="Neutral"/>
    <s v="Satisfied"/>
    <s v="Satisfied"/>
    <s v="Satisfied"/>
    <s v="Satisfied"/>
    <x v="1"/>
    <n v="8"/>
    <s v="Maybe, depending on the rewards"/>
    <x v="0"/>
    <s v="Earn 1 point for every $1, redeem 100 points for a free specialty drink or pastry of your choice;Earn a free pastry or baked good after every 6 food purchases;Earn a free specialty drink after every 10 drink purchases;Redeem 200 points for exclusive Kuppi Coffee merch (cups, stationary, tote bags);Earn a free specialty milk upgrade (oat, almond, macadamia) after every 10 drinks;"/>
    <s v="No"/>
  </r>
  <r>
    <n v="3"/>
    <d v="2026-04-09T09:48:01"/>
    <d v="2026-04-09T09:49:52"/>
    <d v="1899-12-30T00:01:51"/>
    <s v="anonymous"/>
    <s v="Once a month"/>
    <n v="5"/>
    <x v="2"/>
    <s v="Very Satisfied"/>
    <s v="Very Satisfied"/>
    <s v="Very Satisfied"/>
    <s v="Very Satisfied"/>
    <s v="Very Satisfied"/>
    <x v="0"/>
    <n v="10"/>
    <s v="Yes"/>
    <x v="0"/>
    <s v="Earn 1 point for every $1, redeem 100 points for a free specialty drink or pastry of your choice;Redeem 200 points for exclusive Kuppi Coffee merch (cups, stationary, tote bags);Earn a free specialty milk upgrade (oat, almond, macadamia) after every 10 drinks;Earn a free specialty drink after every 10 drink purchases;Earn a free pastry or baked good after every 6 food purchases;"/>
    <s v="N/A"/>
  </r>
  <r>
    <n v="4"/>
    <d v="2026-04-09T11:43:07"/>
    <d v="2026-04-09T11:45:46"/>
    <d v="1899-12-30T00:02:39"/>
    <s v="anonymous"/>
    <s v="First time"/>
    <n v="5"/>
    <x v="3"/>
    <s v="Very Satisfied"/>
    <s v="Satisfied"/>
    <s v="Very Satisfied"/>
    <s v="Very Satisfied"/>
    <s v="Very Satisfied"/>
    <x v="1"/>
    <n v="9"/>
    <s v="Yes"/>
    <x v="0"/>
    <s v="Earn a free specialty drink after every 10 drink purchases;Redeem 200 points for exclusive Kuppi Coffee merch (cups, stationary, tote bags);Earn 1 point for every $1, redeem 100 points for a free specialty drink or pastry of your choice;Earn a free pastry or baked good after every 6 food purchases;Earn a free specialty milk upgrade (oat, almond, macadamia) after every 10 drinks;"/>
    <s v="No additional comments or concerns at this time, but the next time I'm in town, I'm definitely coming here. "/>
  </r>
  <r>
    <n v="5"/>
    <d v="2026-04-10T01:07:40"/>
    <d v="2026-04-10T01:08:48"/>
    <d v="1899-12-30T00:01:08"/>
    <s v="anonymous"/>
    <s v="First time"/>
    <n v="5"/>
    <x v="4"/>
    <s v="Very Satisfied"/>
    <s v="Very Satisfied"/>
    <s v="Very Satisfied"/>
    <s v="Very Satisfied"/>
    <s v="Very Satisfied"/>
    <x v="0"/>
    <n v="10"/>
    <s v="Yes"/>
    <x v="1"/>
    <s v="Earn a free pastry or baked good after every 6 food purchases;Earn a free specialty drink after every 10 drink purchases;Earn a free specialty milk upgrade (oat, almond, macadamia) after every 10 drinks;Earn 1 point for every $1, redeem 100 points for a free specialty drink or pastry of your choice;Redeem 200 points for exclusive Kuppi Coffee merch (cups, stationary, tote bags);"/>
    <s v="N/A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E3F55F9-1728-4979-9E5D-3F91AF54AAA6}" name="PivotTable1" cacheId="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7">
  <location ref="A1:B4" firstHeaderRow="1" firstDataRow="1" firstDataCol="1"/>
  <pivotFields count="19">
    <pivotField showAll="0"/>
    <pivotField numFmtId="166" showAll="0"/>
    <pivotField numFmtId="166" showAll="0"/>
    <pivotField numFmtId="45" showAll="0"/>
    <pivotField showAll="0"/>
    <pivotField showAll="0"/>
    <pivotField showAll="0"/>
    <pivotField showAll="0">
      <items count="6">
        <item x="4"/>
        <item x="0"/>
        <item x="2"/>
        <item x="1"/>
        <item x="3"/>
        <item t="default"/>
      </items>
    </pivotField>
    <pivotField showAll="0"/>
    <pivotField showAll="0"/>
    <pivotField showAll="0"/>
    <pivotField showAll="0"/>
    <pivotField showAll="0"/>
    <pivotField showAll="0">
      <items count="3">
        <item x="1"/>
        <item x="0"/>
        <item t="default"/>
      </items>
    </pivotField>
    <pivotField showAll="0"/>
    <pivotField showAll="0"/>
    <pivotField axis="axisRow" showAll="0">
      <items count="3">
        <item x="0"/>
        <item x="1"/>
        <item t="default"/>
      </items>
    </pivotField>
    <pivotField dataField="1" showAll="0"/>
    <pivotField showAll="0"/>
  </pivotFields>
  <rowFields count="1">
    <field x="16"/>
  </rowFields>
  <rowItems count="3">
    <i>
      <x/>
    </i>
    <i>
      <x v="1"/>
    </i>
    <i t="grand">
      <x/>
    </i>
  </rowItems>
  <colItems count="1">
    <i/>
  </colItems>
  <dataFields count="1">
    <dataField name="Count of Please rank the following rewards you would be most interested in (1 = most interest)" fld="17" subtotal="count" baseField="0" baseItem="0"/>
  </dataFields>
  <chartFormats count="4">
    <chartFormat chart="0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7">
      <pivotArea type="data" outline="0" fieldPosition="0">
        <references count="2">
          <reference field="4294967294" count="1" selected="0">
            <x v="0"/>
          </reference>
          <reference field="16" count="1" selected="0">
            <x v="0"/>
          </reference>
        </references>
      </pivotArea>
    </chartFormat>
    <chartFormat chart="6" format="8">
      <pivotArea type="data" outline="0" fieldPosition="0">
        <references count="2">
          <reference field="4294967294" count="1" selected="0">
            <x v="0"/>
          </reference>
          <reference field="16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S7" totalsRowCount="1" headerRowDxfId="38">
  <autoFilter ref="A1:S6" xr:uid="{00000000-0009-0000-0100-000001000000}"/>
  <tableColumns count="19">
    <tableColumn id="1" xr3:uid="{00000000-0010-0000-0000-000001000000}" name="ID" dataDxfId="37" totalsRowDxfId="18"/>
    <tableColumn id="2" xr3:uid="{00000000-0010-0000-0000-000002000000}" name="Start time" dataDxfId="36" totalsRowDxfId="17"/>
    <tableColumn id="3" xr3:uid="{00000000-0010-0000-0000-000003000000}" name="Completion time" dataDxfId="35" totalsRowDxfId="16"/>
    <tableColumn id="21" xr3:uid="{574F5E68-45C2-4C0B-B4DD-7D02BE97E8A1}" name="Time to Complete" totalsRowFunction="custom" dataDxfId="34" totalsRowDxfId="15">
      <calculatedColumnFormula>C2-B2</calculatedColumnFormula>
      <totalsRowFormula>AVERAGE(D2:D6)</totalsRowFormula>
    </tableColumn>
    <tableColumn id="4" xr3:uid="{00000000-0010-0000-0000-000004000000}" name="Email" dataDxfId="33" totalsRowDxfId="14"/>
    <tableColumn id="7" xr3:uid="{00000000-0010-0000-0000-000007000000}" name="How often do you visit Kuppi Coffee?" dataDxfId="32" totalsRowDxfId="13"/>
    <tableColumn id="8" xr3:uid="{00000000-0010-0000-0000-000008000000}" name="How satisfied are you with your overall experience at our cafe? (1 = Very Dissatisfied → 5 = Very Satisfied)" totalsRowFunction="custom" dataDxfId="31" totalsRowDxfId="12">
      <totalsRowFormula>AVERAGE(G2:G6)</totalsRowFormula>
    </tableColumn>
    <tableColumn id="9" xr3:uid="{00000000-0010-0000-0000-000009000000}" name="Which of the following do you typically order at Kuppi Coffee? (select all that apply)" dataDxfId="30" totalsRowDxfId="11"/>
    <tableColumn id="10" xr3:uid="{00000000-0010-0000-0000-00000A000000}" name="Staff Friendliness" totalsRowFunction="custom" dataDxfId="29" totalsRowDxfId="10">
      <totalsRowFormula array="1">AVERAGE(_xlfn.SWITCH(I2:I6,"Very Dissatisfied",1,"Dissatisfied",2,"Neutral",3,"Satisfied",4,"Very Satisfied",5))</totalsRowFormula>
    </tableColumn>
    <tableColumn id="11" xr3:uid="{00000000-0010-0000-0000-00000B000000}" name="Speed of Service" totalsRowFunction="custom" dataDxfId="28" totalsRowDxfId="9">
      <totalsRowFormula array="1">AVERAGE(_xlfn.SWITCH(J2:J6,"Very Dissatisfied",1,"Dissatisfied",2,"Neutral",3,"Satisfied",4,"Very Satisfied",5))</totalsRowFormula>
    </tableColumn>
    <tableColumn id="12" xr3:uid="{00000000-0010-0000-0000-00000C000000}" name="Cleanliness" totalsRowFunction="custom" dataDxfId="27" totalsRowDxfId="8">
      <totalsRowFormula array="1">AVERAGE(_xlfn.SWITCH(K2:K6,"Very Dissatisfied",1,"Dissatisfied",2,"Neutral",3,"Satisfied",4,"Very Satisfied",5))</totalsRowFormula>
    </tableColumn>
    <tableColumn id="13" xr3:uid="{00000000-0010-0000-0000-00000D000000}" name="Wi-Fi Quality" totalsRowFunction="custom" dataDxfId="26" totalsRowDxfId="7">
      <totalsRowFormula array="1">AVERAGE(_xlfn.SWITCH(L2:L6,"Very Dissatisfied",1,"Dissatisfied",2,"Neutral",3,"Satisfied",4,"Very Satisfied",5))</totalsRowFormula>
    </tableColumn>
    <tableColumn id="14" xr3:uid="{00000000-0010-0000-0000-00000E000000}" name="Seating Comfort" totalsRowFunction="custom" dataDxfId="25" totalsRowDxfId="6">
      <totalsRowFormula array="1">AVERAGE(_xlfn.SWITCH(M2:M6,"Very Dissatisfied",1,"Dissatisfied",2,"Neutral",3,"Satisfied",4,"Very Satisfied",5))</totalsRowFormula>
    </tableColumn>
    <tableColumn id="15" xr3:uid="{00000000-0010-0000-0000-00000F000000}" name="Food &amp; Drink Quality" totalsRowFunction="custom" dataDxfId="24" totalsRowDxfId="5">
      <totalsRowFormula array="1">AVERAGE(_xlfn.SWITCH(N2:N6,"Very Dissatisfied",1,"Dissatisfied",2,"Neutral",3,"Satisfied",4,"Very Satisfied",5))</totalsRowFormula>
    </tableColumn>
    <tableColumn id="16" xr3:uid="{00000000-0010-0000-0000-000010000000}" name="How likely are you to recommend Kuppi Coffee to someone? (1 = Not at all likely → 10 = Extremely likely)" dataDxfId="23" totalsRowDxfId="4"/>
    <tableColumn id="17" xr3:uid="{00000000-0010-0000-0000-000011000000}" name="Would you be interested in a loyalty/rewards program at Kuppi Coffee?" totalsRowFunction="custom" dataDxfId="22" totalsRowDxfId="3">
      <totalsRowFormula>COUNTIF(P2:P6, "Maybe, depending on the rewards")</totalsRowFormula>
    </tableColumn>
    <tableColumn id="18" xr3:uid="{00000000-0010-0000-0000-000012000000}" name="Would you prefer a punch-card style reward or a points-based system? (Please select one)" dataDxfId="21" totalsRowDxfId="2"/>
    <tableColumn id="19" xr3:uid="{00000000-0010-0000-0000-000013000000}" name="Please rank the following rewards you would be most interested in (1 = most interest)" dataDxfId="20" totalsRowDxfId="1"/>
    <tableColumn id="20" xr3:uid="{00000000-0010-0000-0000-000014000000}" name="Any additional comments or concerns?" dataDxfId="19" totalsRowDxfId="0"/>
  </tableColumns>
  <tableStyleInfo name="TableStyleMedium1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7"/>
  <sheetViews>
    <sheetView tabSelected="1" topLeftCell="Q17" workbookViewId="0">
      <selection activeCell="N8" sqref="N8"/>
    </sheetView>
  </sheetViews>
  <sheetFormatPr defaultRowHeight="14.25" x14ac:dyDescent="0.45"/>
  <cols>
    <col min="1" max="1" width="6.6640625" customWidth="1"/>
    <col min="2" max="3" width="20" bestFit="1" customWidth="1"/>
    <col min="4" max="4" width="20" customWidth="1"/>
    <col min="5" max="5" width="10.06640625" customWidth="1"/>
    <col min="6" max="6" width="16.3984375" customWidth="1"/>
    <col min="7" max="7" width="20" bestFit="1" customWidth="1"/>
    <col min="8" max="8" width="20" customWidth="1"/>
    <col min="9" max="17" width="20" bestFit="1" customWidth="1"/>
    <col min="18" max="18" width="55" customWidth="1"/>
    <col min="19" max="19" width="27.265625" customWidth="1"/>
    <col min="20" max="21" width="20" bestFit="1" customWidth="1"/>
  </cols>
  <sheetData>
    <row r="1" spans="1:19" ht="71.25" x14ac:dyDescent="0.45">
      <c r="A1" s="15" t="s">
        <v>0</v>
      </c>
      <c r="B1" s="17" t="s">
        <v>1</v>
      </c>
      <c r="C1" s="15" t="s">
        <v>2</v>
      </c>
      <c r="D1" s="15" t="s">
        <v>43</v>
      </c>
      <c r="E1" s="15" t="s">
        <v>3</v>
      </c>
      <c r="F1" s="18" t="s">
        <v>4</v>
      </c>
      <c r="G1" s="18" t="s">
        <v>5</v>
      </c>
      <c r="H1" s="18" t="s">
        <v>6</v>
      </c>
      <c r="I1" s="15" t="s">
        <v>7</v>
      </c>
      <c r="J1" s="15" t="s">
        <v>8</v>
      </c>
      <c r="K1" s="15" t="s">
        <v>9</v>
      </c>
      <c r="L1" s="15" t="s">
        <v>10</v>
      </c>
      <c r="M1" s="15" t="s">
        <v>11</v>
      </c>
      <c r="N1" s="15" t="s">
        <v>12</v>
      </c>
      <c r="O1" s="18" t="s">
        <v>13</v>
      </c>
      <c r="P1" s="18" t="s">
        <v>14</v>
      </c>
      <c r="Q1" s="18" t="s">
        <v>15</v>
      </c>
      <c r="R1" s="18" t="s">
        <v>16</v>
      </c>
      <c r="S1" s="18" t="s">
        <v>17</v>
      </c>
    </row>
    <row r="2" spans="1:19" ht="85.5" x14ac:dyDescent="0.45">
      <c r="A2" s="16">
        <v>1</v>
      </c>
      <c r="B2" s="12">
        <v>46120.957418981503</v>
      </c>
      <c r="C2" s="12">
        <v>46120.959328703699</v>
      </c>
      <c r="D2" s="14">
        <f>C2-B2</f>
        <v>1.9097221957053989E-3</v>
      </c>
      <c r="E2" s="11" t="s">
        <v>18</v>
      </c>
      <c r="F2" s="13" t="s">
        <v>19</v>
      </c>
      <c r="G2" s="13">
        <v>5</v>
      </c>
      <c r="H2" s="13" t="s">
        <v>20</v>
      </c>
      <c r="I2" s="13" t="s">
        <v>21</v>
      </c>
      <c r="J2" s="13" t="s">
        <v>22</v>
      </c>
      <c r="K2" s="13" t="s">
        <v>21</v>
      </c>
      <c r="L2" s="13" t="s">
        <v>23</v>
      </c>
      <c r="M2" s="13" t="s">
        <v>21</v>
      </c>
      <c r="N2" s="13" t="s">
        <v>21</v>
      </c>
      <c r="O2" s="13">
        <v>9</v>
      </c>
      <c r="P2" s="13" t="s">
        <v>24</v>
      </c>
      <c r="Q2" s="13" t="s">
        <v>25</v>
      </c>
      <c r="R2" s="8" t="s">
        <v>26</v>
      </c>
      <c r="S2" s="9" t="s">
        <v>27</v>
      </c>
    </row>
    <row r="3" spans="1:19" ht="85.5" x14ac:dyDescent="0.45">
      <c r="A3" s="16">
        <v>2</v>
      </c>
      <c r="B3" s="12">
        <v>46121.4062962963</v>
      </c>
      <c r="C3" s="12">
        <v>46121.408391203702</v>
      </c>
      <c r="D3" s="14">
        <f t="shared" ref="D3:D6" si="0">C3-B3</f>
        <v>2.0949074023519643E-3</v>
      </c>
      <c r="E3" s="11" t="s">
        <v>18</v>
      </c>
      <c r="F3" s="13" t="s">
        <v>28</v>
      </c>
      <c r="G3" s="13">
        <v>5</v>
      </c>
      <c r="H3" s="9" t="s">
        <v>29</v>
      </c>
      <c r="I3" s="13" t="s">
        <v>23</v>
      </c>
      <c r="J3" s="13" t="s">
        <v>22</v>
      </c>
      <c r="K3" s="13" t="s">
        <v>22</v>
      </c>
      <c r="L3" s="13" t="s">
        <v>22</v>
      </c>
      <c r="M3" s="13" t="s">
        <v>22</v>
      </c>
      <c r="N3" s="13" t="s">
        <v>22</v>
      </c>
      <c r="O3" s="13">
        <v>8</v>
      </c>
      <c r="P3" s="13" t="s">
        <v>24</v>
      </c>
      <c r="Q3" s="13" t="s">
        <v>25</v>
      </c>
      <c r="R3" s="8" t="s">
        <v>30</v>
      </c>
      <c r="S3" s="10" t="s">
        <v>31</v>
      </c>
    </row>
    <row r="4" spans="1:19" ht="99.75" x14ac:dyDescent="0.45">
      <c r="A4" s="16">
        <v>3</v>
      </c>
      <c r="B4" s="12">
        <v>46121.408344907402</v>
      </c>
      <c r="C4" s="12">
        <v>46121.409629629597</v>
      </c>
      <c r="D4" s="14">
        <f t="shared" si="0"/>
        <v>1.2847221951233223E-3</v>
      </c>
      <c r="E4" s="11" t="s">
        <v>18</v>
      </c>
      <c r="F4" s="13" t="s">
        <v>32</v>
      </c>
      <c r="G4" s="13">
        <v>5</v>
      </c>
      <c r="H4" s="13" t="s">
        <v>33</v>
      </c>
      <c r="I4" s="13" t="s">
        <v>21</v>
      </c>
      <c r="J4" s="13" t="s">
        <v>21</v>
      </c>
      <c r="K4" s="13" t="s">
        <v>21</v>
      </c>
      <c r="L4" s="13" t="s">
        <v>21</v>
      </c>
      <c r="M4" s="13" t="s">
        <v>21</v>
      </c>
      <c r="N4" s="13" t="s">
        <v>21</v>
      </c>
      <c r="O4" s="13">
        <v>10</v>
      </c>
      <c r="P4" s="13" t="s">
        <v>34</v>
      </c>
      <c r="Q4" s="13" t="s">
        <v>25</v>
      </c>
      <c r="R4" s="8" t="s">
        <v>35</v>
      </c>
      <c r="S4" s="10" t="s">
        <v>36</v>
      </c>
    </row>
    <row r="5" spans="1:19" ht="85.5" x14ac:dyDescent="0.45">
      <c r="A5" s="16">
        <v>4</v>
      </c>
      <c r="B5" s="12">
        <v>46121.488275463002</v>
      </c>
      <c r="C5" s="12">
        <v>46121.4901157407</v>
      </c>
      <c r="D5" s="14">
        <f t="shared" si="0"/>
        <v>1.8402776986476965E-3</v>
      </c>
      <c r="E5" s="11" t="s">
        <v>18</v>
      </c>
      <c r="F5" s="13" t="s">
        <v>28</v>
      </c>
      <c r="G5" s="13">
        <v>5</v>
      </c>
      <c r="H5" s="13" t="s">
        <v>37</v>
      </c>
      <c r="I5" s="13" t="s">
        <v>21</v>
      </c>
      <c r="J5" s="13" t="s">
        <v>22</v>
      </c>
      <c r="K5" s="13" t="s">
        <v>21</v>
      </c>
      <c r="L5" s="13" t="s">
        <v>21</v>
      </c>
      <c r="M5" s="13" t="s">
        <v>21</v>
      </c>
      <c r="N5" s="13" t="s">
        <v>22</v>
      </c>
      <c r="O5" s="13">
        <v>9</v>
      </c>
      <c r="P5" s="13" t="s">
        <v>34</v>
      </c>
      <c r="Q5" s="13" t="s">
        <v>25</v>
      </c>
      <c r="R5" s="7" t="s">
        <v>38</v>
      </c>
      <c r="S5" s="9" t="s">
        <v>39</v>
      </c>
    </row>
    <row r="6" spans="1:19" ht="85.5" x14ac:dyDescent="0.45">
      <c r="A6" s="16">
        <v>5</v>
      </c>
      <c r="B6" s="12">
        <v>46122.046990740702</v>
      </c>
      <c r="C6" s="12">
        <v>46122.0477777778</v>
      </c>
      <c r="D6" s="14">
        <f t="shared" si="0"/>
        <v>7.8703709732508287E-4</v>
      </c>
      <c r="E6" s="11" t="s">
        <v>18</v>
      </c>
      <c r="F6" s="13" t="s">
        <v>28</v>
      </c>
      <c r="G6" s="13">
        <v>5</v>
      </c>
      <c r="H6" s="13" t="s">
        <v>40</v>
      </c>
      <c r="I6" s="13" t="s">
        <v>21</v>
      </c>
      <c r="J6" s="13" t="s">
        <v>21</v>
      </c>
      <c r="K6" s="13" t="s">
        <v>21</v>
      </c>
      <c r="L6" s="13" t="s">
        <v>21</v>
      </c>
      <c r="M6" s="13" t="s">
        <v>21</v>
      </c>
      <c r="N6" s="13" t="s">
        <v>21</v>
      </c>
      <c r="O6" s="13">
        <v>10</v>
      </c>
      <c r="P6" s="13" t="s">
        <v>34</v>
      </c>
      <c r="Q6" s="13" t="s">
        <v>41</v>
      </c>
      <c r="R6" s="8" t="s">
        <v>42</v>
      </c>
      <c r="S6" s="11" t="s">
        <v>36</v>
      </c>
    </row>
    <row r="7" spans="1:19" x14ac:dyDescent="0.45">
      <c r="A7" s="1"/>
      <c r="B7" s="2"/>
      <c r="C7" s="2"/>
      <c r="D7" s="3">
        <f>AVERAGE(D2:D6)</f>
        <v>1.5833333178306929E-3</v>
      </c>
      <c r="E7" s="1"/>
      <c r="F7" s="1"/>
      <c r="G7" s="1">
        <f>AVERAGE(G2:G6)</f>
        <v>5</v>
      </c>
      <c r="H7" s="1"/>
      <c r="I7" s="4" cm="1">
        <f t="array" ref="I7">AVERAGE(_xlfn.SWITCH(I2:I6,"Very Dissatisfied",1,"Dissatisfied",2,"Neutral",3,"Satisfied",4,"Very Satisfied",5))</f>
        <v>4.5999999999999996</v>
      </c>
      <c r="J7" s="1" cm="1">
        <f t="array" ref="J7">AVERAGE(_xlfn.SWITCH(J2:J6,"Very Dissatisfied",1,"Dissatisfied",2,"Neutral",3,"Satisfied",4,"Very Satisfied",5))</f>
        <v>4.4000000000000004</v>
      </c>
      <c r="K7" s="1" cm="1">
        <f t="array" ref="K7">AVERAGE(_xlfn.SWITCH(K2:K6,"Very Dissatisfied",1,"Dissatisfied",2,"Neutral",3,"Satisfied",4,"Very Satisfied",5))</f>
        <v>4.8</v>
      </c>
      <c r="L7" s="1" cm="1">
        <f t="array" ref="L7">AVERAGE(_xlfn.SWITCH(L2:L6,"Very Dissatisfied",1,"Dissatisfied",2,"Neutral",3,"Satisfied",4,"Very Satisfied",5))</f>
        <v>4.4000000000000004</v>
      </c>
      <c r="M7" s="1" cm="1">
        <f t="array" ref="M7">AVERAGE(_xlfn.SWITCH(M2:M6,"Very Dissatisfied",1,"Dissatisfied",2,"Neutral",3,"Satisfied",4,"Very Satisfied",5))</f>
        <v>4.8</v>
      </c>
      <c r="N7" s="1" cm="1">
        <f t="array" ref="N7">AVERAGE(_xlfn.SWITCH(N2:N6,"Very Dissatisfied",1,"Dissatisfied",2,"Neutral",3,"Satisfied",4,"Very Satisfied",5))</f>
        <v>4.5999999999999996</v>
      </c>
      <c r="O7" s="1"/>
      <c r="P7" s="1">
        <f>COUNTIF(P2:P6, "Maybe, depending on the rewards")</f>
        <v>2</v>
      </c>
      <c r="Q7" s="1"/>
      <c r="R7" s="1"/>
      <c r="S7" s="1"/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2684A6-2A33-40A3-B901-8836FED50976}">
  <dimension ref="A1:B4"/>
  <sheetViews>
    <sheetView workbookViewId="0">
      <selection activeCell="B26" sqref="B26"/>
    </sheetView>
  </sheetViews>
  <sheetFormatPr defaultRowHeight="14.25" x14ac:dyDescent="0.45"/>
  <cols>
    <col min="1" max="1" width="12.06640625" bestFit="1" customWidth="1"/>
    <col min="2" max="2" width="79.53125" bestFit="1" customWidth="1"/>
  </cols>
  <sheetData>
    <row r="1" spans="1:2" x14ac:dyDescent="0.45">
      <c r="A1" s="5" t="s">
        <v>44</v>
      </c>
      <c r="B1" t="s">
        <v>46</v>
      </c>
    </row>
    <row r="2" spans="1:2" x14ac:dyDescent="0.45">
      <c r="A2" s="6" t="s">
        <v>25</v>
      </c>
      <c r="B2" s="1">
        <v>4</v>
      </c>
    </row>
    <row r="3" spans="1:2" x14ac:dyDescent="0.45">
      <c r="A3" s="6" t="s">
        <v>41</v>
      </c>
      <c r="B3" s="1">
        <v>1</v>
      </c>
    </row>
    <row r="4" spans="1:2" x14ac:dyDescent="0.45">
      <c r="A4" s="6" t="s">
        <v>45</v>
      </c>
      <c r="B4" s="1">
        <v>5</v>
      </c>
    </row>
  </sheetData>
  <pageMargins left="0.7" right="0.7" top="0.75" bottom="0.75" header="0.3" footer="0.3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Survey_Responses</vt:lpstr>
      <vt:lpstr>Rewards System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sharleen guerrero</cp:lastModifiedBy>
  <dcterms:created xsi:type="dcterms:W3CDTF">2026-04-11T01:20:28Z</dcterms:created>
  <dcterms:modified xsi:type="dcterms:W3CDTF">2026-04-11T03:33:28Z</dcterms:modified>
</cp:coreProperties>
</file>